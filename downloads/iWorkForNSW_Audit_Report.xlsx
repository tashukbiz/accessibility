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Findings" sheetId="2" r:id="rId5"/>
    <sheet state="visible" name="WCAG checklist" sheetId="3" r:id="rId6"/>
  </sheets>
  <definedNames/>
  <calcPr/>
  <extLst>
    <ext uri="GoogleSheetsCustomDataVersion2">
      <go:sheetsCustomData xmlns:go="http://customooxmlschemas.google.com/" r:id="rId7" roundtripDataChecksum="k0KNYF1PtF/ZSHLDuiCxA4g9OcLrjqdcpJbd2yml1vU="/>
    </ext>
  </extLst>
</workbook>
</file>

<file path=xl/sharedStrings.xml><?xml version="1.0" encoding="utf-8"?>
<sst xmlns="http://schemas.openxmlformats.org/spreadsheetml/2006/main" count="570" uniqueCount="364">
  <si>
    <t>Accessibility Evaluation — I Work for NSW</t>
  </si>
  <si>
    <t>WCAG 2.2 Level AA  •  WCAG-EM methodology</t>
  </si>
  <si>
    <t>Evaluation title</t>
  </si>
  <si>
    <t>Accessibility Evaluation — I Work for NSW (public website)</t>
  </si>
  <si>
    <t>Website</t>
  </si>
  <si>
    <t>I Work for NSW — https://iworkfor.nsw.gov.au/</t>
  </si>
  <si>
    <t>Scope</t>
  </si>
  <si>
    <t>Homepage of the I Work for NSW jobs website.</t>
  </si>
  <si>
    <t>Conformance target</t>
  </si>
  <si>
    <t>WCAG 2.2 Level AA</t>
  </si>
  <si>
    <t>Accessibility-support baseline</t>
  </si>
  <si>
    <t>VoiceOver + Safari (primary) on macOS and iOS (iPhone); spot-checked in Chrome on macOS; keyboard + Safari/Chrome.</t>
  </si>
  <si>
    <t>Pages evaluated</t>
  </si>
  <si>
    <t>Homepage</t>
  </si>
  <si>
    <t>Evaluator</t>
  </si>
  <si>
    <t>Tatiana Shukletsova</t>
  </si>
  <si>
    <t>Date</t>
  </si>
  <si>
    <t>30.06.2026</t>
  </si>
  <si>
    <t>Overall summary</t>
  </si>
  <si>
    <t>The site has a good base to build on. The layout is clean, the content is inclusive, and some accessibility basics are already there: skip links, landmarks and image alt text. 
However, the homepage does not yet meet WCAG 2.2 Level AA. 
The keyboard problems are the most important and should be fixed first. Many people rely only on a keyboard, and right now several things block them: the mobile menu can't be opened by keyboard, the search dropdowns can't be fully used, and there's no visible focus on most of the page.
Most issues come from two causes, so fixing these solves many findings at once:
1. The focus outline seems to be switched off across the whole site. Adding a clear focus style back fixes the focus problems in one change.
2. The search dropdowns are custom-built and don't work properly with keyboard or screen readers. Rebuilding them the standard way fixes most of the dropdown findings.
I suggest fixing the keyboard and focus issues first, then the rest.</t>
  </si>
  <si>
    <t>Findings by severity</t>
  </si>
  <si>
    <t>Critical</t>
  </si>
  <si>
    <t>Serious</t>
  </si>
  <si>
    <t>Moderate</t>
  </si>
  <si>
    <t>Minor</t>
  </si>
  <si>
    <t>Total findings</t>
  </si>
  <si>
    <t>Findings by page</t>
  </si>
  <si>
    <t>Conformance overview (WCAG 2.2 AA)</t>
  </si>
  <si>
    <t>Criteria passed</t>
  </si>
  <si>
    <t>Criteria failed</t>
  </si>
  <si>
    <t>Cannot tell</t>
  </si>
  <si>
    <t>Not applicable</t>
  </si>
  <si>
    <t>Applicable criteria (Pass + Fail + Cannot tell)</t>
  </si>
  <si>
    <t>Criteria met (of applicable)</t>
  </si>
  <si>
    <t>Note: WCAG conformance is ultimately pass/fail per page. Any unmet Level AA criterion means a page does not fully conform — so 'criteria met' shows progress, not a passing grade. Always read it alongside the severity counts above.</t>
  </si>
  <si>
    <t>ID</t>
  </si>
  <si>
    <t>Page</t>
  </si>
  <si>
    <t>URL</t>
  </si>
  <si>
    <t>Component / element</t>
  </si>
  <si>
    <t>Problem</t>
  </si>
  <si>
    <t>Description</t>
  </si>
  <si>
    <t>WCAG criterion</t>
  </si>
  <si>
    <t>Severity</t>
  </si>
  <si>
    <t>Recommendation</t>
  </si>
  <si>
    <t>Evidence (file / link)</t>
  </si>
  <si>
    <t>H-01</t>
  </si>
  <si>
    <t>https://iworkfor.nsw.gov.au/</t>
  </si>
  <si>
    <t>Search-form dropdowns (Location, Occupation, etc.)</t>
  </si>
  <si>
    <t>No visible focus on list items</t>
  </si>
  <si>
    <t>Steps: Open a search-form dropdown (e.g. Locations), tab to the "Search for a location" field, then press Tab again to reach the first list item.
Expected: A clear, visible focus indicator on the list item.
Actual: There is no visible focus indicator, so I cannot tell which item has focus.</t>
  </si>
  <si>
    <t>2.4.7 Focus Visible (AA)</t>
  </si>
  <si>
    <t>Rebuild the dropdown component (used by all search-form dropdowns) to follow the ARIA APG combobox + tree pattern: single tab stop; Up/Down move the active option (scrolled into view); Right/Left expand/collapse groups; Space/Enter toggles selection; Esc closes and returns focus to the field.</t>
  </si>
  <si>
    <t>H-01.png</t>
  </si>
  <si>
    <t>H-02</t>
  </si>
  <si>
    <t>Cannot reach the whole list</t>
  </si>
  <si>
    <t>Steps: Open the dropdown and use the keyboard to move down through the list of options.
Expected: The list scrolls to keep the focused option in view, so every option can be reached.
Actual: The list does not scroll, so options below the visible area cannot be seen or selected by keyboard.</t>
  </si>
  <si>
    <t>2.1.1 Keyboard (A)</t>
  </si>
  <si>
    <t>H-02.png</t>
  </si>
  <si>
    <t>H-03</t>
  </si>
  <si>
    <t>Focus leaves the open dropdown</t>
  </si>
  <si>
    <t>Steps: Tab to the "Clear all selections" button, then press Tab again.
Expected: Focus stays inside the open dropdown (or the dropdown closes).
Actual: The dropdown stays open, but focus moves out to the next field.</t>
  </si>
  <si>
    <t>2.4.3 Focus Order (A)</t>
  </si>
  <si>
    <t>H-03.png</t>
  </si>
  <si>
    <t>H-04</t>
  </si>
  <si>
    <t>Esc does not close the dropdown</t>
  </si>
  <si>
    <t>Steps: Open the dropdown and press the Esc key.
Expected: The dropdown closes and focus returns to the field.
Actual: The dropdown stays open; Esc does nothing.</t>
  </si>
  <si>
    <t>H-05</t>
  </si>
  <si>
    <t>Arrow keys scroll the whole page</t>
  </si>
  <si>
    <t xml:space="preserve">Steps: Focus the field, press Enter to open the dropdown, then press the Down-arrow key several times.
Expected: The arrow keys move the highlighted option down through the list, keeping it in view.
Actual: A grey highlight moves down the items, but real focus stays on the field and the whole page scrolls. </t>
  </si>
  <si>
    <t>H-06</t>
  </si>
  <si>
    <t>Page header / top navigation</t>
  </si>
  <si>
    <t>No visible focus on header items</t>
  </si>
  <si>
    <t>Steps: Open the page and press Tab repeatedly through the header ("Skip to main content" appears first, then the "I work for NSW" logo link, "Sign in", and the menu items).
Expected: A visible focus indicator on each interactive item as it receives focus.
Actual: No focus indicator is visible, so a keyboard user cannot tell which item has focus.</t>
  </si>
  <si>
    <t>Add a clearly visible focus indicator (e.g. a 2px outline or text underline with at least 3:1 contrast) to every interactive element in the header: the logo link, Sign in, and the menu items.</t>
  </si>
  <si>
    <t>H-07</t>
  </si>
  <si>
    <t>Skip links (bypass mechanism)</t>
  </si>
  <si>
    <t>"Skip to main content" does not move focus to main content</t>
  </si>
  <si>
    <t>Steps: Open the page, press Tab (the "Skip to main content" link appears), then press Enter.
Expected: Focus moves directly to the main content (the Search field).
Actual: Focus does not visibly move to the main content. Pressing Tab then reveals further skip links ("Skip to navigation", "Skip to content"), and several more Tab presses are needed before focus reaches the Search field.</t>
  </si>
  <si>
    <t>2.4.1 Bypass Blocks (A)</t>
  </si>
  <si>
    <t>Make the "Skip to main content" link move focus straight to the main landmark / Search field when activated. Place skip links at the very start of the tab order; do not require tabbing through several skip links to reach the main content.</t>
  </si>
  <si>
    <t>H-08</t>
  </si>
  <si>
    <t>"Skip to navigation" link is placed where it serves no purpose</t>
  </si>
  <si>
    <t>Steps: Open the page and Tab through the header. After the "Skip to main content" link and the "Sign in" link, a "Skip to navigation" link appears - immediately before the navigation menu.
Expected: A "skip to navigation" link is only useful before the header content (to skip the logo and Sign in and jump to the navigation), or within/after the main content (to return to the navigation).
Actual: The link appears right before the navigation, when the user has already reached it by tabbing, so it serves no purpose. (Most sites simply provide a single "Skip to main content" link.)</t>
  </si>
  <si>
    <t>Usability (best practice)</t>
  </si>
  <si>
    <t>Place skip links at the very start of the page's tab order so they can actually bypass the logo and Sign in. Remove or reposition the redundant "Skip to navigation" link that appears once the user is already at the navigation; a single "Skip to main content" link is usually sufficient.</t>
  </si>
  <si>
    <t>H-09</t>
  </si>
  <si>
    <t>Main navigation (submenus)</t>
  </si>
  <si>
    <t>Submenu cannot be opened by keyboard</t>
  </si>
  <si>
    <t>Steps: Tab to a top-level navigation item that has a submenu, then try to open the submenu with the keyboard, trying Enter, Space, the Down arrow, and the Right arrow in turn.
Expected: The submenu opens via the keyboard and its expanded state is conveyed.
Actual: None of these keys open the submenu, so it cannot be opened by keyboard at all and its links cannot be reached.</t>
  </si>
  <si>
    <t>Implement keyboard support for the navigation per the ARIA APG (disclosure-navigation or menubar pattern): the submenu opens with the expected key(s), aria-expanded is exposed, submenu links are reachable, and focus is visible.</t>
  </si>
  <si>
    <t>H-10</t>
  </si>
  <si>
    <t>Mobile navigation (hamburger menu)</t>
  </si>
  <si>
    <t>Hamburger menu is not reachable or operable by keyboard</t>
  </si>
  <si>
    <t>Steps: View the homepage in the narrow (mobile) layout, where the navigation is collapsed into a hamburger menu. Press Tab to try to reach and open the menu.
Expected: The hamburger button shows a visible focus indicator when focused and opens with Enter/Space to reveal the menu items.
Actual: The button cannot be reached or operated by keyboard and shows no focus indicator, so the menu items cannot be reached.</t>
  </si>
  <si>
    <t>Make the hamburger control a keyboard-focusable button with a visible focus indicator and aria-expanded, openable with Enter/Space, so all navigation is reachable by keyboard in the mobile layout (ARIA APG disclosure pattern).</t>
  </si>
  <si>
    <t>H-11</t>
  </si>
  <si>
    <t>Main content (links &amp; panels)</t>
  </si>
  <si>
    <t>No visible focus on main-content links and panels</t>
  </si>
  <si>
    <t>Steps: Tab to the "Start your search" button, then keep pressing Tab through the rest of the page.
Expected: A visible focus indicator on each interactive element (e.g. the "Frontline services" panel and the links that follow).
Actual: No focus indicator is visible for most elements (the only exception is the "Learn more about sign in" button in the "Sign into a NSW organisation's job platform" block), so the user cannot tell where they are.</t>
  </si>
  <si>
    <t>Apply a visible focus indicator to every interactive element on the page (links, buttons, panels). A single site-wide focus style is the cleanest fix.</t>
  </si>
  <si>
    <t>H-12</t>
  </si>
  <si>
    <t>Search-form dropdowns (Location, Occupation)</t>
  </si>
  <si>
    <t>Dropdown announced as a plain button, not an expandable list</t>
  </si>
  <si>
    <t>Steps: With VoiceOver on, move to the Location dropdown and listen to how it is announced.
Expected: It is announced as an expandable control with its state - e.g. "Locations, combo box, collapsed" - so a screen-reader user knows it opens a list and whether it is open.
Actual: It is announced only as "Locations, button", with no indication that it opens a list and no expanded/collapsed state.</t>
  </si>
  <si>
    <t>4.1.2 Name, Role, Value (A)</t>
  </si>
  <si>
    <t>Expose proper combobox semantics: give the control a combobox/listbox role (or at minimum aria-haspopup='listbox' plus an aria-expanded state that updates), so screen readers announce it as an expandable control with its open/closed state. A clearer label such as 'Choose location' is a helpful addition, but the role and state are the essential fix.</t>
  </si>
  <si>
    <t>H-12.png</t>
  </si>
  <si>
    <t>H-13</t>
  </si>
  <si>
    <t>Search form - "More options" disclosure</t>
  </si>
  <si>
    <t>Revealed fields are easily missed; expanded state not announced</t>
  </si>
  <si>
    <t>Steps: With VoiceOver on, focus the "More options" button and press Enter, then press Tab.
Expected: The button's expanded state is announced, and the newly revealed fields are easy to find by continuing forward.
Actual: Only the changed label "Less options" is announced - the expanded state is not. The new fields (Organisation, Work type, Salary) appear BEFORE the button, so pressing Tab moves forward to 'Start your search' and skips them; reaching them requires Shift+Tab, which nothing signals. A blind user may never discover the extra fields.</t>
  </si>
  <si>
    <t>Add aria-expanded (and aria-controls) to the toggle so its state is announced. Move focus to the first revealed field when the section expands so it is discoverable. Do not rely on the label change alone.</t>
  </si>
  <si>
    <t>H-13.png</t>
  </si>
  <si>
    <t>H-14</t>
  </si>
  <si>
    <t>Opening the dropdown announces nothing</t>
  </si>
  <si>
    <t>Steps: With VoiceOver on, focus the Location field and press Enter to open the dropdown.
Expected: VoiceOver announces that the control is now expanded and exposes the list of options that has appeared.
Actual: Nothing is announced when the dropdown opens, so a screen-reader user has no indication that the list appeared or that the control's state changed.</t>
  </si>
  <si>
    <t>Expose the expanded/collapsed state on the control (aria-expanded) and ensure the revealed list is announced via proper combobox/listbox semantics, so activation communicates that the list has opened.</t>
  </si>
  <si>
    <t>H-14.png</t>
  </si>
  <si>
    <t>H-15</t>
  </si>
  <si>
    <t>Hidden "for screen reader" element creates a confusing empty stop</t>
  </si>
  <si>
    <t>Steps: With VoiceOver on, open the Location dropdown and press VO+Right past the "Search for a location" field.
Expected: Focus moves to the first option (checkbox) in the list.
Actual: VoiceOver lands on an empty element announced as "for screen reader, edit text" - a confusing stop that conveys no purpose before the options.</t>
  </si>
  <si>
    <t>4.1.2 Name, Role, Value (A) / 1.3.1 Info and Relationships (A)</t>
  </si>
  <si>
    <t>Remove or correctly label the hidden "for screen reader" element so it does not create a meaningless extra stop; users should move from the search field straight to the first option.</t>
  </si>
  <si>
    <t>H-15.jpg</t>
  </si>
  <si>
    <t>H-16</t>
  </si>
  <si>
    <t>Search-form dropdowns</t>
  </si>
  <si>
    <t>"Sydney Region" is expandable for sighted users but not for screen readers</t>
  </si>
  <si>
    <t>Steps: With VoiceOver in Safari, open the Location dropdown and move to "Sydney Region".
Expected: VoiceOver conveys that the item can be ticked (to select the whole region) and expanded to reveal its sub-regions, and the sub-regions can be reached and selected.
Actual: VoiceOver announces the item only as "tick box, unticked". Control+Option+Space ticks it, but there is no indication that the item is expandable and no discoverable way to open or reach its sub-regions. A screen-reader user can select the whole region but cannot choose an individual sub-region.</t>
  </si>
  <si>
    <t>Build the location hierarchy as an accessible multi-select tree (ARIA APG Tree View): expose the expandable state (aria-expanded), give a keyboard-operable way to expand and collapse each region, and make the sub-regions reachable and selectable by screen-reader and keyboard users.</t>
  </si>
  <si>
    <t>H-16.png</t>
  </si>
  <si>
    <t>H-17</t>
  </si>
  <si>
    <t>Page landmarks / structure</t>
  </si>
  <si>
    <t>Landmark structure problems (duplicate/nested main, redundant nav label)</t>
  </si>
  <si>
    <t>Steps: With VoiceOver on, open the Rotor and review the Landmarks list; also inspect the landmark structure in the code.
Expected: Exactly one main landmark, not nested inside another landmark; navigation landmarks named only as needed and without repeating the word "navigation".
Actual: There are two main landmarks (there must be only one), a main is nested inside another landmark, and a navigation landmark's label includes the word "navigation" so VoiceOver announces "navigation navigation".</t>
  </si>
  <si>
    <t>1.3.1 Info and Relationships (A)</t>
  </si>
  <si>
    <t>Use a single main landmark that is not nested inside any other landmark; name duplicate navs with a short label that omits the word 'navigation' (e.g. aria-label='Main' so VoiceOver says 'Main, navigation').</t>
  </si>
  <si>
    <t>H-18</t>
  </si>
  <si>
    <t>Search form ("Find a job")</t>
  </si>
  <si>
    <t>Form labels marked up as headings (h4)</t>
  </si>
  <si>
    <t>Steps: Inspect the "Find a job" search form in the code.
Expected: The form uses native HTML semantics - a form element, real labels programmatically associated with their controls, and standard form controls.
Actual: Field labels are marked up as headings (h4) and controls use SVG/custom markup instead of native form elements, so labels are not programmatically tied to their fields. Headings instead of labels confuse blind users who use the Rotor</t>
  </si>
  <si>
    <t>1.3.1 Info and Relationships (A) / 3.3.2 Labels or Instructions (A)</t>
  </si>
  <si>
    <t>Rebuild the search form with native semantics: a form element, labels correctly associated with each control (for/id or wrapping), and standard form controls, so the label-field relationships are exposed to assistive technology.</t>
  </si>
  <si>
    <t>H-19</t>
  </si>
  <si>
    <t>Checkboxes disappear when CSS is turned off</t>
  </si>
  <si>
    <t>Steps: Turn off CSS (or use a "disable styles" tool), then open the "Find a job" form and look at the Location dropdown options.
Expected: With CSS off, the checkboxes still appear as real form controls, so locations can be selected.
Actual: With CSS off, no checkboxes are visible, so the user cannot see or select any locations - the "checkboxes" are not real, native controls.</t>
  </si>
  <si>
    <t>Use real, native checkbox controls (or correctly-rolled ARIA controls that remain perceivable without CSS) so the selection controls are robust and not dependent on styling.</t>
  </si>
  <si>
    <t>H-19.png</t>
  </si>
  <si>
    <t>H-20</t>
  </si>
  <si>
    <t>Content images (cards + "Better work" section)</t>
  </si>
  <si>
    <t>Image alt text duplicates the card heading (verbose in some browsers)</t>
  </si>
  <si>
    <t>Steps: Inspect the three "Explore where your skills can take you" cards (and the "Better work for a better NSW" image). Each card is a link that contains both a heading and an image whose alt text repeats that heading.
Expected: An image inside a link that already contains the heading should have empty alt text (alt=""), so the title is announced once.
Actual: The image alt text repeats the heading. In Safari, VoiceOver folds this into one accessible name and reads the title once; in Chrome it reads the title twice. The image does have a text alternative, so this is not a WCAG 1.1.1 failure - but the duplicate alt is redundant and causes a double read in some browsers.</t>
  </si>
  <si>
    <t>For an image inside a link that already contains the heading text, use alt="" so the title is never announced twice in any browser.</t>
  </si>
  <si>
    <t>H-21</t>
  </si>
  <si>
    <t>Content cards ("Our commitment...", "Adjustments...")</t>
  </si>
  <si>
    <t>Card text overlaps arrow icon at increased text spacing</t>
  </si>
  <si>
    <t>Steps: On the homepage, apply the Text Spacing bookmarklet (line-height 1.5, paragraph spacing 2x, letter spacing 0.12x, word spacing 0.16x). Look at the "Our commitment to candidates" and "Adjustments for individual needs" cards.
Expected: With the increased spacing applied, all text remains fully visible and readable, with no overlap or clipping.
Actual: The body text grows beyond its fixed-height container and the last line overlaps the arrow icon (e.g. "feedback"), making content harder to read.</t>
  </si>
  <si>
    <t>1.4.12 Text Spacing (AA)</t>
  </si>
  <si>
    <t>Do not constrain the card text to a fixed height; let the container grow with its content (use min-height instead of a fixed height) and keep the arrow in normal flow so it cannot overlap the text at increased spacing.</t>
  </si>
  <si>
    <t>H-21.png</t>
  </si>
  <si>
    <t>H-22</t>
  </si>
  <si>
    <t>Mobile menu items (Job Search, Sign in, Help)</t>
  </si>
  <si>
    <t>Some mobile menu items are announced only as "Menu item", with no name</t>
  </si>
  <si>
    <t>Steps: On iPhone (iOS, Safari) with VoiceOver on, open the mobile menu and swipe through the items.
Expected: Each menu item is announced with its visible name (e.g. "Job Search", "Sign in", "Help").
Actual: "Job Search", "Sign in" and "Help" are announced only as "Menu item", with no name, so a VoiceOver user cannot tell them apart or know where each leads. Other items in the same menu (Work for NSW, Employment programs, How to apply) are announced correctly, which shows names can be exposed.</t>
  </si>
  <si>
    <t>Give each menu item a proper accessible name - real text in the link, or an aria-label where the item is icon-based - so every item is announced by name.</t>
  </si>
  <si>
    <t>H-23</t>
  </si>
  <si>
    <t>Mobile menu (open state), Close button</t>
  </si>
  <si>
    <t>Open mobile menu cannot be closed or escaped; focus is not managed</t>
  </si>
  <si>
    <t>Steps: On iPhone (iOS, Safari) with VoiceOver on, open the mobile menu, swipe to the last item, then keep swiping.
Expected: Focus stays within the open menu; a "Close" control is reachable; closing the menu (including the two-finger scrub) returns focus to the menu button.
Actual: Swiping past the last item moves focus to the browser "back" link, not a Close control; the "Close" button inside the menu cannot be reached by swiping; swiping back lands in page content while the menu stays open. The two-finger scrub dismisses the menu but returns focus to the browser, not the menu button or page content. A VoiceOver user is left disoriented with no clear way back to the main content.</t>
  </si>
  <si>
    <t>2.4.3 Focus Order (A) / 4.1.2 Name, Role, Value (A)</t>
  </si>
  <si>
    <t>Build the mobile menu as a proper dialog/disclosure: keep VoiceOver focus within it while open, expose a reachable "Close" control, return focus to the menu button on close, and support the standard dismiss gesture.</t>
  </si>
  <si>
    <t>H-24</t>
  </si>
  <si>
    <t>Mobile menu button (hamburger)</t>
  </si>
  <si>
    <t>Menu button announced only as "menu" - role and state not exposed</t>
  </si>
  <si>
    <t>Steps: On iPhone (iOS, Safari) with VoiceOver on, move to the hamburger menu control.
Expected: VoiceOver announces it as a button, with its name and expanded/collapsed state (e.g. "Menu, button, collapsed").
Actual: VoiceOver announces only "menu" - it does not convey that the control is a button, nor whether the menu is expanded or collapsed, so a screen-reader user is not told it is actionable or what state it is in.</t>
  </si>
  <si>
    <t>Expose the control as a native button (or role="button") with an accessible name and an aria-expanded state, so VoiceOver announces its role and whether the menu is open.</t>
  </si>
  <si>
    <t>H-25</t>
  </si>
  <si>
    <t>Content cards ("Explore where your skills can take you")</t>
  </si>
  <si>
    <t>Card arrow is a separate link announced only as "east"</t>
  </si>
  <si>
    <t>Steps: On iPhone (iOS, Safari) with VoiceOver on, set the rotor to Links and move through a card in the "Explore where your skills can take you" section.
Expected: The card is a single link named by its heading (e.g. "Frontline services"), so its purpose is clear.
Actual: Each card exposes three separate links - the heading, the description and the arrow - and the arrow link's only accessible name is "east" (the icon's internal name), which does not convey where it goes. Three adjacent links to the same destination is also redundant for screen-reader users.</t>
  </si>
  <si>
    <t>2.4.4 Link Purpose (In Context) (A)</t>
  </si>
  <si>
    <t>Make each card a single link named by its heading, and hide the decorative arrow from assistive technology (aria-hidden="true" or empty alt) so the link name comes only from its text.</t>
  </si>
  <si>
    <t>SC</t>
  </si>
  <si>
    <t>Success criterion</t>
  </si>
  <si>
    <t>In plain language — what to check</t>
  </si>
  <si>
    <t>Level</t>
  </si>
  <si>
    <t>Result</t>
  </si>
  <si>
    <t>Notes</t>
  </si>
  <si>
    <t>Principle 1 — Perceivable</t>
  </si>
  <si>
    <t>1.1.1</t>
  </si>
  <si>
    <t>Non-text Content</t>
  </si>
  <si>
    <t>Images, icons and other non-text content have a text alternative that conveys their meaning; purely decorative images are hidden from screen readers.</t>
  </si>
  <si>
    <t>A</t>
  </si>
  <si>
    <t>Pass</t>
  </si>
  <si>
    <t>Homepage: Images has redundant alt text</t>
  </si>
  <si>
    <t>1.2.1</t>
  </si>
  <si>
    <t>Audio-only and Video-only (Prerecorded)</t>
  </si>
  <si>
    <t>Pre-recorded audio-only or video-only content has a text (or audio) alternative.</t>
  </si>
  <si>
    <t>1.2.2</t>
  </si>
  <si>
    <t>Captions (Prerecorded)</t>
  </si>
  <si>
    <t>Pre-recorded videos with sound have synchronised captions.</t>
  </si>
  <si>
    <t>1.2.3</t>
  </si>
  <si>
    <t>Audio Description or Media Alternative (Prerecorded)</t>
  </si>
  <si>
    <t>Pre-recorded video has an audio description or a full text alternative of what is shown.</t>
  </si>
  <si>
    <t>1.2.4</t>
  </si>
  <si>
    <t>Captions (Live)</t>
  </si>
  <si>
    <t>Live video with audio has real-time captions.</t>
  </si>
  <si>
    <t>AA</t>
  </si>
  <si>
    <t>1.2.5</t>
  </si>
  <si>
    <t>Audio Description (Prerecorded)</t>
  </si>
  <si>
    <t>Pre-recorded video has an audio description of important visual detail.</t>
  </si>
  <si>
    <t>1.3.1</t>
  </si>
  <si>
    <t>Info and Relationships</t>
  </si>
  <si>
    <t>Visual structure (headings, lists, tables, labels) is coded so screen readers convey the same relationships.</t>
  </si>
  <si>
    <t>Fail</t>
  </si>
  <si>
    <t>Homepage: Labels sounds like headers</t>
  </si>
  <si>
    <t>1.3.2</t>
  </si>
  <si>
    <t>Meaningful Sequence</t>
  </si>
  <si>
    <t>The reading and navigation order still makes sense when styling is removed.</t>
  </si>
  <si>
    <t>1.3.3</t>
  </si>
  <si>
    <t>Sensory Characteristics</t>
  </si>
  <si>
    <t>Instructions don't rely only on shape, size, position or sound (not just 'click the round button on the right').</t>
  </si>
  <si>
    <t>1.3.4</t>
  </si>
  <si>
    <t>Orientation</t>
  </si>
  <si>
    <t>Content works in both portrait and landscape; it isn't locked to one orientation.</t>
  </si>
  <si>
    <t>1.3.5</t>
  </si>
  <si>
    <t>Identify Input Purpose</t>
  </si>
  <si>
    <t>Common fields (name, email, etc.) are coded so browsers can autofill them.</t>
  </si>
  <si>
    <t>1.4.1</t>
  </si>
  <si>
    <t>Use of Color</t>
  </si>
  <si>
    <t>Colour isn't the only way meaning is conveyed (e.g. errors aren't shown by red alone).</t>
  </si>
  <si>
    <t>1.4.2</t>
  </si>
  <si>
    <t>Audio Control</t>
  </si>
  <si>
    <t>Audio that auto-plays for more than 3 seconds can be paused or stopped.</t>
  </si>
  <si>
    <t>1.4.3</t>
  </si>
  <si>
    <t>Contrast (Minimum)</t>
  </si>
  <si>
    <t>Text has enough contrast against its background (4.5:1, or 3:1 for large text).</t>
  </si>
  <si>
    <t>1.4.4</t>
  </si>
  <si>
    <t>Resize Text</t>
  </si>
  <si>
    <t>Text can be enlarged to 200% without losing content or function.</t>
  </si>
  <si>
    <t>1.4.5</t>
  </si>
  <si>
    <t>Images of Text</t>
  </si>
  <si>
    <t>Real text is used instead of pictures of text (logos excepted).</t>
  </si>
  <si>
    <t>1.4.10</t>
  </si>
  <si>
    <t>Reflow</t>
  </si>
  <si>
    <t>Content reflows to a 320px-wide screen with no horizontal scrolling.</t>
  </si>
  <si>
    <t>1.4.11</t>
  </si>
  <si>
    <t>Non-text Contrast</t>
  </si>
  <si>
    <t>UI components, icons and focus indicators have at least 3:1 contrast.</t>
  </si>
  <si>
    <t>1.4.12</t>
  </si>
  <si>
    <t>Text Spacing</t>
  </si>
  <si>
    <t>Content still works when users increase line, letter and word spacing.</t>
  </si>
  <si>
    <t>1.4.13</t>
  </si>
  <si>
    <t>Content on Hover or Focus</t>
  </si>
  <si>
    <t>Tooltips/popups shown on hover or focus can be dismissed, hovered over, and stay until dismissed.</t>
  </si>
  <si>
    <t>Principle 2 — Operable</t>
  </si>
  <si>
    <t>2.1.1</t>
  </si>
  <si>
    <t>Keyboard</t>
  </si>
  <si>
    <t>Everything can be operated with the keyboard alone.</t>
  </si>
  <si>
    <t>2.1.2</t>
  </si>
  <si>
    <t>No Keyboard Trap</t>
  </si>
  <si>
    <t>Keyboard focus can always move away from any component (no getting stuck).</t>
  </si>
  <si>
    <t>2.1.4</t>
  </si>
  <si>
    <t>Character Key Shortcuts</t>
  </si>
  <si>
    <t>Single-key shortcuts can be turned off, remapped, or only active on focus.</t>
  </si>
  <si>
    <t>2.2.1</t>
  </si>
  <si>
    <t>Timing Adjustable</t>
  </si>
  <si>
    <t>Time limits can be turned off, adjusted or extended.</t>
  </si>
  <si>
    <t>2.2.2</t>
  </si>
  <si>
    <t>Pause, Stop, Hide</t>
  </si>
  <si>
    <t>Moving, blinking or auto-updating content can be paused, stopped or hidden.</t>
  </si>
  <si>
    <t>2.3.1</t>
  </si>
  <si>
    <t>Three Flashes or Below Threshold</t>
  </si>
  <si>
    <t>Nothing flashes more than three times per second.</t>
  </si>
  <si>
    <t>2.4.1</t>
  </si>
  <si>
    <t>Bypass Blocks</t>
  </si>
  <si>
    <t>There's a way to skip repeated blocks (e.g. a 'skip to main content' link).</t>
  </si>
  <si>
    <t>There are such links but they don't work properly</t>
  </si>
  <si>
    <t>2.4.2</t>
  </si>
  <si>
    <t>Page Titled</t>
  </si>
  <si>
    <t>Each page has a clear, descriptive title.</t>
  </si>
  <si>
    <t>2.4.3</t>
  </si>
  <si>
    <t>Focus Order</t>
  </si>
  <si>
    <t>Keyboard focus moves in a logical, meaningful order.</t>
  </si>
  <si>
    <t>Find a job form</t>
  </si>
  <si>
    <t>2.4.4</t>
  </si>
  <si>
    <t>Link Purpose (In Context)</t>
  </si>
  <si>
    <t>Each link's purpose is clear from its text or its context.</t>
  </si>
  <si>
    <t>2.4.5</t>
  </si>
  <si>
    <t>Multiple Ways</t>
  </si>
  <si>
    <t>There's more than one way to find a page (e.g. menu plus search).</t>
  </si>
  <si>
    <t>2.4.6</t>
  </si>
  <si>
    <t>Headings and Labels</t>
  </si>
  <si>
    <t>Headings and labels are descriptive and clear.</t>
  </si>
  <si>
    <t>2.4.7</t>
  </si>
  <si>
    <t>Focus Visible</t>
  </si>
  <si>
    <t>The keyboard focus indicator is always visible.</t>
  </si>
  <si>
    <t>2.4.11</t>
  </si>
  <si>
    <t>Focus Not Obscured (Minimum)</t>
  </si>
  <si>
    <t>The focused element isn't completely hidden by other content (e.g. sticky headers).</t>
  </si>
  <si>
    <t>2.5.1</t>
  </si>
  <si>
    <t>Pointer Gestures</t>
  </si>
  <si>
    <t>Multi-finger or path-based gestures have a simple single-pointer alternative.</t>
  </si>
  <si>
    <t>2.5.2</t>
  </si>
  <si>
    <t>Pointer Cancellation</t>
  </si>
  <si>
    <t>Actions complete on release, so a mis-tap can be cancelled.</t>
  </si>
  <si>
    <t>2.5.3</t>
  </si>
  <si>
    <t>Label in Name</t>
  </si>
  <si>
    <t>A control's visible label is part of its accessible name (so voice control works).</t>
  </si>
  <si>
    <t>2.5.4</t>
  </si>
  <si>
    <t>Motion Actuation</t>
  </si>
  <si>
    <t>Features triggered by moving the device also work another way and can be turned off.</t>
  </si>
  <si>
    <t>2.5.7</t>
  </si>
  <si>
    <t>Dragging Movements</t>
  </si>
  <si>
    <t>Anything done by dragging can also be done with a simple click or tap.</t>
  </si>
  <si>
    <t>2.5.8</t>
  </si>
  <si>
    <t>Target Size (Minimum)</t>
  </si>
  <si>
    <t>Clickable targets are at least 24×24 px, or have enough spacing.</t>
  </si>
  <si>
    <t>Principle 3 — Understandable</t>
  </si>
  <si>
    <t>3.1.1</t>
  </si>
  <si>
    <t>Language of Page</t>
  </si>
  <si>
    <t>The page's main language is set in the code.</t>
  </si>
  <si>
    <t>3.1.2</t>
  </si>
  <si>
    <t>Language of Parts</t>
  </si>
  <si>
    <t>Passages in a different language are marked in the code.</t>
  </si>
  <si>
    <t>3.2.1</t>
  </si>
  <si>
    <t>On Focus</t>
  </si>
  <si>
    <t>Moving focus to an element doesn't trigger an unexpected change (popup, page change).</t>
  </si>
  <si>
    <t>3.2.2</t>
  </si>
  <si>
    <t>On Input</t>
  </si>
  <si>
    <t>Changing a field or setting doesn't trigger an unexpected change without warning.</t>
  </si>
  <si>
    <t>3.2.3</t>
  </si>
  <si>
    <t>Consistent Navigation</t>
  </si>
  <si>
    <t>Navigation that repeats across pages stays in the same order.</t>
  </si>
  <si>
    <t>3.2.4</t>
  </si>
  <si>
    <t>Consistent Identification</t>
  </si>
  <si>
    <t>Components that do the same thing are labelled consistently.</t>
  </si>
  <si>
    <t>3.2.6</t>
  </si>
  <si>
    <t>Consistent Help</t>
  </si>
  <si>
    <t>Help options (contact, FAQ) appear in a consistent place across pages.</t>
  </si>
  <si>
    <t>3.3.1</t>
  </si>
  <si>
    <t>Error Identification</t>
  </si>
  <si>
    <t>Input errors are clearly identified in text.</t>
  </si>
  <si>
    <t>3.3.2</t>
  </si>
  <si>
    <t>Labels or Instructions</t>
  </si>
  <si>
    <t>Form fields have clear labels and instructions.</t>
  </si>
  <si>
    <t>3.3.3</t>
  </si>
  <si>
    <t>Error Suggestion</t>
  </si>
  <si>
    <t>When an error is detected, helpful correction suggestions are offered.</t>
  </si>
  <si>
    <t>3.3.4</t>
  </si>
  <si>
    <t>Error Prevention (Legal, Financial, Data)</t>
  </si>
  <si>
    <t>For legal/financial/data submissions, actions are reversible, checked, or confirmed.</t>
  </si>
  <si>
    <t>3.3.7</t>
  </si>
  <si>
    <t>Redundant Entry</t>
  </si>
  <si>
    <t>Information already entered isn't asked for again in the same process (or is auto-filled).</t>
  </si>
  <si>
    <t>3.3.8</t>
  </si>
  <si>
    <t>Accessible Authentication (Minimum)</t>
  </si>
  <si>
    <t>Login doesn't depend on a memory/transcription test with no alternative.</t>
  </si>
  <si>
    <t>Principle 4 — Robust</t>
  </si>
  <si>
    <t>4.1.2</t>
  </si>
  <si>
    <t>Name, Role, Value</t>
  </si>
  <si>
    <t>Every UI control exposes its name, role and current state to assistive technology.</t>
  </si>
  <si>
    <t>4.1.3</t>
  </si>
  <si>
    <t>Status Messages</t>
  </si>
  <si>
    <t>Status messages (e.g. '5 results found', 'saved') are announced by screen readers without moving focus.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</si>
</sst>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2C6E7F"/>
      <name val="Arial"/>
    </font>
    <font>
      <sz val="11.0"/>
      <color theme="1"/>
      <name val="Calibri"/>
    </font>
    <font>
      <i/>
      <sz val="10.0"/>
      <color rgb="FF595959"/>
      <name val="Arial"/>
    </font>
    <font>
      <b/>
      <sz val="10.0"/>
      <color rgb="FF222222"/>
      <name val="Arial"/>
    </font>
    <font>
      <sz val="10.0"/>
      <color rgb="FF222222"/>
      <name val="Arial"/>
    </font>
    <font>
      <i/>
      <sz val="9.0"/>
      <color rgb="FF595959"/>
      <name val="Arial"/>
    </font>
    <font>
      <b/>
      <sz val="11.0"/>
      <color rgb="FFFFFFFF"/>
      <name val="Arial"/>
    </font>
    <font>
      <sz val="9.0"/>
      <color rgb="FF222222"/>
      <name val="Arial"/>
    </font>
    <font/>
  </fonts>
  <fills count="5">
    <fill>
      <patternFill patternType="none"/>
    </fill>
    <fill>
      <patternFill patternType="lightGray"/>
    </fill>
    <fill>
      <patternFill patternType="solid">
        <fgColor rgb="FFF2F4F5"/>
        <bgColor rgb="FFF2F4F5"/>
      </patternFill>
    </fill>
    <fill>
      <patternFill patternType="solid">
        <fgColor rgb="FFDCE7EA"/>
        <bgColor rgb="FFDCE7EA"/>
      </patternFill>
    </fill>
    <fill>
      <patternFill patternType="solid">
        <fgColor rgb="FF2C6E7F"/>
        <bgColor rgb="FF2C6E7F"/>
      </patternFill>
    </fill>
  </fills>
  <borders count="5">
    <border/>
    <border>
      <left style="thin">
        <color rgb="FFC9D2D5"/>
      </left>
      <right style="thin">
        <color rgb="FFC9D2D5"/>
      </right>
      <top style="thin">
        <color rgb="FFC9D2D5"/>
      </top>
      <bottom style="thin">
        <color rgb="FFC9D2D5"/>
      </bottom>
    </border>
    <border>
      <left style="thin">
        <color rgb="FFC9D2D5"/>
      </left>
      <top style="thin">
        <color rgb="FFC9D2D5"/>
      </top>
      <bottom style="thin">
        <color rgb="FFC9D2D5"/>
      </bottom>
    </border>
    <border>
      <top style="thin">
        <color rgb="FFC9D2D5"/>
      </top>
      <bottom style="thin">
        <color rgb="FFC9D2D5"/>
      </bottom>
    </border>
    <border>
      <right style="thin">
        <color rgb="FFC9D2D5"/>
      </right>
      <top style="thin">
        <color rgb="FFC9D2D5"/>
      </top>
      <bottom style="thin">
        <color rgb="FFC9D2D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3" fontId="4" numFmtId="0" xfId="0" applyAlignment="1" applyBorder="1" applyFill="1" applyFont="1">
      <alignment vertical="center"/>
    </xf>
    <xf borderId="1" fillId="3" fontId="2" numFmtId="0" xfId="0" applyAlignment="1" applyBorder="1" applyFont="1">
      <alignment vertical="bottom"/>
    </xf>
    <xf borderId="1" fillId="0" fontId="4" numFmtId="0" xfId="0" applyAlignment="1" applyBorder="1" applyFont="1">
      <alignment horizontal="left" shrinkToFit="0" vertical="top" wrapText="1"/>
    </xf>
    <xf borderId="0" fillId="0" fontId="6" numFmtId="0" xfId="0" applyAlignment="1" applyFont="1">
      <alignment shrinkToFit="0" vertical="top" wrapText="1"/>
    </xf>
    <xf borderId="1" fillId="4" fontId="7" numFmtId="0" xfId="0" applyAlignment="1" applyBorder="1" applyFill="1" applyFont="1">
      <alignment shrinkToFit="0" vertical="center" wrapText="1"/>
    </xf>
    <xf borderId="1" fillId="0" fontId="8" numFmtId="0" xfId="0" applyAlignment="1" applyBorder="1" applyFont="1">
      <alignment horizontal="left" shrinkToFit="0" vertical="top" wrapText="1"/>
    </xf>
    <xf borderId="1" fillId="0" fontId="8" numFmtId="0" xfId="0" applyAlignment="1" applyBorder="1" applyFont="1">
      <alignment horizontal="left" readingOrder="0" shrinkToFit="0" vertical="top" wrapText="1"/>
    </xf>
    <xf borderId="2" fillId="3" fontId="4" numFmtId="0" xfId="0" applyAlignment="1" applyBorder="1" applyFont="1">
      <alignment vertical="center"/>
    </xf>
    <xf borderId="3" fillId="0" fontId="9" numFmtId="0" xfId="0" applyBorder="1" applyFont="1"/>
    <xf borderId="4" fillId="0" fontId="9" numFmtId="0" xfId="0" applyBorder="1" applyFont="1"/>
    <xf borderId="1" fillId="0" fontId="5" numFmtId="0" xfId="0" applyAlignment="1" applyBorder="1" applyFont="1">
      <alignment horizontal="center" shrinkToFit="0" vertical="top" wrapText="1"/>
    </xf>
    <xf borderId="0" fillId="0" fontId="2" numFmtId="0" xfId="0" applyAlignment="1" applyFont="1">
      <alignment shrinkToFit="0" vertical="bottom" wrapText="1"/>
    </xf>
  </cellXfs>
  <cellStyles count="1">
    <cellStyle xfId="0" name="Normal" builtinId="0"/>
  </cellStyles>
  <dxfs count="6">
    <dxf>
      <font/>
      <fill>
        <patternFill patternType="solid">
          <fgColor rgb="FFF4C7C3"/>
          <bgColor rgb="FFF4C7C3"/>
        </patternFill>
      </fill>
      <border/>
    </dxf>
    <dxf>
      <font/>
      <fill>
        <patternFill patternType="solid">
          <fgColor rgb="FFF8D9B0"/>
          <bgColor rgb="FFF8D9B0"/>
        </patternFill>
      </fill>
      <border/>
    </dxf>
    <dxf>
      <font/>
      <fill>
        <patternFill patternType="solid">
          <fgColor rgb="FFFBEFC9"/>
          <bgColor rgb="FFFBEFC9"/>
        </patternFill>
      </fill>
      <border/>
    </dxf>
    <dxf>
      <font/>
      <fill>
        <patternFill patternType="solid">
          <fgColor rgb="FFE2ECE2"/>
          <bgColor rgb="FFE2ECE2"/>
        </patternFill>
      </fill>
      <border/>
    </dxf>
    <dxf>
      <font/>
      <fill>
        <patternFill patternType="solid">
          <fgColor rgb="FFD6EBD6"/>
          <bgColor rgb="FFD6EBD6"/>
        </patternFill>
      </fill>
      <border/>
    </dxf>
    <dxf>
      <font/>
      <fill>
        <patternFill patternType="solid">
          <fgColor rgb="FFE6E6E6"/>
          <bgColor rgb="FFE6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93.86"/>
    <col customWidth="1" min="3" max="6" width="8.71"/>
  </cols>
  <sheetData>
    <row r="1" ht="19.5" customHeight="1">
      <c r="A1" s="1" t="s">
        <v>0</v>
      </c>
      <c r="C1" s="2"/>
      <c r="D1" s="2"/>
      <c r="E1" s="2"/>
      <c r="F1" s="2"/>
      <c r="G1" s="2"/>
      <c r="H1" s="2"/>
      <c r="I1" s="2"/>
      <c r="J1" s="2"/>
      <c r="K1" s="2"/>
      <c r="L1" s="2"/>
      <c r="M1" s="2"/>
      <c r="N1" s="2"/>
      <c r="O1" s="2"/>
      <c r="P1" s="2"/>
      <c r="Q1" s="2"/>
      <c r="R1" s="2"/>
      <c r="S1" s="2"/>
      <c r="T1" s="2"/>
      <c r="U1" s="2"/>
      <c r="V1" s="2"/>
      <c r="W1" s="2"/>
      <c r="X1" s="2"/>
      <c r="Y1" s="2"/>
      <c r="Z1" s="2"/>
    </row>
    <row r="2" ht="15.0" customHeight="1">
      <c r="A2" s="3" t="s">
        <v>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4.0" customHeight="1">
      <c r="A4" s="4" t="s">
        <v>2</v>
      </c>
      <c r="B4" s="5" t="s">
        <v>3</v>
      </c>
      <c r="C4" s="2"/>
      <c r="D4" s="2"/>
      <c r="E4" s="2"/>
      <c r="F4" s="2"/>
      <c r="G4" s="2"/>
      <c r="H4" s="2"/>
      <c r="I4" s="2"/>
      <c r="J4" s="2"/>
      <c r="K4" s="2"/>
      <c r="L4" s="2"/>
      <c r="M4" s="2"/>
      <c r="N4" s="2"/>
      <c r="O4" s="2"/>
      <c r="P4" s="2"/>
      <c r="Q4" s="2"/>
      <c r="R4" s="2"/>
      <c r="S4" s="2"/>
      <c r="T4" s="2"/>
      <c r="U4" s="2"/>
      <c r="V4" s="2"/>
      <c r="W4" s="2"/>
      <c r="X4" s="2"/>
      <c r="Y4" s="2"/>
      <c r="Z4" s="2"/>
    </row>
    <row r="5" ht="24.0" customHeight="1">
      <c r="A5" s="4" t="s">
        <v>4</v>
      </c>
      <c r="B5" s="5" t="s">
        <v>5</v>
      </c>
      <c r="C5" s="2"/>
      <c r="D5" s="2"/>
      <c r="E5" s="2"/>
      <c r="F5" s="2"/>
      <c r="G5" s="2"/>
      <c r="H5" s="2"/>
      <c r="I5" s="2"/>
      <c r="J5" s="2"/>
      <c r="K5" s="2"/>
      <c r="L5" s="2"/>
      <c r="M5" s="2"/>
      <c r="N5" s="2"/>
      <c r="O5" s="2"/>
      <c r="P5" s="2"/>
      <c r="Q5" s="2"/>
      <c r="R5" s="2"/>
      <c r="S5" s="2"/>
      <c r="T5" s="2"/>
      <c r="U5" s="2"/>
      <c r="V5" s="2"/>
      <c r="W5" s="2"/>
      <c r="X5" s="2"/>
      <c r="Y5" s="2"/>
      <c r="Z5" s="2"/>
    </row>
    <row r="6" ht="42.0" customHeight="1">
      <c r="A6" s="4" t="s">
        <v>6</v>
      </c>
      <c r="B6" s="5" t="s">
        <v>7</v>
      </c>
      <c r="C6" s="2"/>
      <c r="D6" s="2"/>
      <c r="E6" s="2"/>
      <c r="F6" s="2"/>
      <c r="G6" s="2"/>
      <c r="H6" s="2"/>
      <c r="I6" s="2"/>
      <c r="J6" s="2"/>
      <c r="K6" s="2"/>
      <c r="L6" s="2"/>
      <c r="M6" s="2"/>
      <c r="N6" s="2"/>
      <c r="O6" s="2"/>
      <c r="P6" s="2"/>
      <c r="Q6" s="2"/>
      <c r="R6" s="2"/>
      <c r="S6" s="2"/>
      <c r="T6" s="2"/>
      <c r="U6" s="2"/>
      <c r="V6" s="2"/>
      <c r="W6" s="2"/>
      <c r="X6" s="2"/>
      <c r="Y6" s="2"/>
      <c r="Z6" s="2"/>
    </row>
    <row r="7" ht="24.0" customHeight="1">
      <c r="A7" s="4" t="s">
        <v>8</v>
      </c>
      <c r="B7" s="5" t="s">
        <v>9</v>
      </c>
      <c r="C7" s="2"/>
      <c r="D7" s="2"/>
      <c r="E7" s="2"/>
      <c r="F7" s="2"/>
      <c r="G7" s="2"/>
      <c r="H7" s="2"/>
      <c r="I7" s="2"/>
      <c r="J7" s="2"/>
      <c r="K7" s="2"/>
      <c r="L7" s="2"/>
      <c r="M7" s="2"/>
      <c r="N7" s="2"/>
      <c r="O7" s="2"/>
      <c r="P7" s="2"/>
      <c r="Q7" s="2"/>
      <c r="R7" s="2"/>
      <c r="S7" s="2"/>
      <c r="T7" s="2"/>
      <c r="U7" s="2"/>
      <c r="V7" s="2"/>
      <c r="W7" s="2"/>
      <c r="X7" s="2"/>
      <c r="Y7" s="2"/>
      <c r="Z7" s="2"/>
    </row>
    <row r="8">
      <c r="A8" s="4" t="s">
        <v>10</v>
      </c>
      <c r="B8" s="5" t="s">
        <v>11</v>
      </c>
      <c r="C8" s="2"/>
      <c r="D8" s="2"/>
      <c r="E8" s="2"/>
      <c r="F8" s="2"/>
      <c r="G8" s="2"/>
      <c r="H8" s="2"/>
      <c r="I8" s="2"/>
      <c r="J8" s="2"/>
      <c r="K8" s="2"/>
      <c r="L8" s="2"/>
      <c r="M8" s="2"/>
      <c r="N8" s="2"/>
      <c r="O8" s="2"/>
      <c r="P8" s="2"/>
      <c r="Q8" s="2"/>
      <c r="R8" s="2"/>
      <c r="S8" s="2"/>
      <c r="T8" s="2"/>
      <c r="U8" s="2"/>
      <c r="V8" s="2"/>
      <c r="W8" s="2"/>
      <c r="X8" s="2"/>
      <c r="Y8" s="2"/>
      <c r="Z8" s="2"/>
    </row>
    <row r="9" ht="42.0" customHeight="1">
      <c r="A9" s="4" t="s">
        <v>12</v>
      </c>
      <c r="B9" s="5" t="s">
        <v>13</v>
      </c>
      <c r="C9" s="2"/>
      <c r="D9" s="2"/>
      <c r="E9" s="2"/>
      <c r="F9" s="2"/>
      <c r="G9" s="2"/>
      <c r="H9" s="2"/>
      <c r="I9" s="2"/>
      <c r="J9" s="2"/>
      <c r="K9" s="2"/>
      <c r="L9" s="2"/>
      <c r="M9" s="2"/>
      <c r="N9" s="2"/>
      <c r="O9" s="2"/>
      <c r="P9" s="2"/>
      <c r="Q9" s="2"/>
      <c r="R9" s="2"/>
      <c r="S9" s="2"/>
      <c r="T9" s="2"/>
      <c r="U9" s="2"/>
      <c r="V9" s="2"/>
      <c r="W9" s="2"/>
      <c r="X9" s="2"/>
      <c r="Y9" s="2"/>
      <c r="Z9" s="2"/>
    </row>
    <row r="10" ht="24.0" customHeight="1">
      <c r="A10" s="4" t="s">
        <v>14</v>
      </c>
      <c r="B10" s="5" t="s">
        <v>15</v>
      </c>
      <c r="C10" s="2"/>
      <c r="D10" s="2"/>
      <c r="E10" s="2"/>
      <c r="F10" s="2"/>
      <c r="G10" s="2"/>
      <c r="H10" s="2"/>
      <c r="I10" s="2"/>
      <c r="J10" s="2"/>
      <c r="K10" s="2"/>
      <c r="L10" s="2"/>
      <c r="M10" s="2"/>
      <c r="N10" s="2"/>
      <c r="O10" s="2"/>
      <c r="P10" s="2"/>
      <c r="Q10" s="2"/>
      <c r="R10" s="2"/>
      <c r="S10" s="2"/>
      <c r="T10" s="2"/>
      <c r="U10" s="2"/>
      <c r="V10" s="2"/>
      <c r="W10" s="2"/>
      <c r="X10" s="2"/>
      <c r="Y10" s="2"/>
      <c r="Z10" s="2"/>
    </row>
    <row r="11" ht="24.0" customHeight="1">
      <c r="A11" s="4" t="s">
        <v>16</v>
      </c>
      <c r="B11" s="5" t="s">
        <v>17</v>
      </c>
      <c r="C11" s="2"/>
      <c r="D11" s="2"/>
      <c r="E11" s="2"/>
      <c r="F11" s="2"/>
      <c r="G11" s="2"/>
      <c r="H11" s="2"/>
      <c r="I11" s="2"/>
      <c r="J11" s="2"/>
      <c r="K11" s="2"/>
      <c r="L11" s="2"/>
      <c r="M11" s="2"/>
      <c r="N11" s="2"/>
      <c r="O11" s="2"/>
      <c r="P11" s="2"/>
      <c r="Q11" s="2"/>
      <c r="R11" s="2"/>
      <c r="S11" s="2"/>
      <c r="T11" s="2"/>
      <c r="U11" s="2"/>
      <c r="V11" s="2"/>
      <c r="W11" s="2"/>
      <c r="X11" s="2"/>
      <c r="Y11" s="2"/>
      <c r="Z11" s="2"/>
    </row>
    <row r="12" ht="171.75" customHeight="1">
      <c r="A12" s="4" t="s">
        <v>18</v>
      </c>
      <c r="B12" s="6" t="s">
        <v>19</v>
      </c>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ht="15.0" customHeight="1">
      <c r="A14" s="7" t="s">
        <v>20</v>
      </c>
      <c r="B14" s="8"/>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9" t="s">
        <v>21</v>
      </c>
      <c r="B15" s="5">
        <f>COUNTIF(Findings!H:H,"Critical")</f>
        <v>1</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9" t="s">
        <v>22</v>
      </c>
      <c r="B16" s="5">
        <f>COUNTIF(Findings!H:H,"Serious")</f>
        <v>12</v>
      </c>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9" t="s">
        <v>23</v>
      </c>
      <c r="B17" s="5">
        <f>COUNTIF(Findings!H:H,"Moderate")</f>
        <v>9</v>
      </c>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9" t="s">
        <v>24</v>
      </c>
      <c r="B18" s="5">
        <f>COUNTIF(Findings!H:H,"Minor")</f>
        <v>3</v>
      </c>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9" t="s">
        <v>25</v>
      </c>
      <c r="B19" s="5">
        <f>COUNTA(Findings!A:A)-1</f>
        <v>25</v>
      </c>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7" t="s">
        <v>26</v>
      </c>
      <c r="B21" s="8"/>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9" t="s">
        <v>13</v>
      </c>
      <c r="B22" s="5">
        <f>COUNTIF(Findings!B:B,"Homepage")</f>
        <v>25</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7" t="s">
        <v>27</v>
      </c>
      <c r="B24" s="8"/>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9" t="s">
        <v>28</v>
      </c>
      <c r="B25" s="5">
        <f>COUNTIF('WCAG checklist'!E:E,"Pass")</f>
        <v>23</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9" t="s">
        <v>29</v>
      </c>
      <c r="B26" s="5">
        <f>COUNTIF('WCAG checklist'!E:E,"Fail")</f>
        <v>9</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9" t="s">
        <v>30</v>
      </c>
      <c r="B27" s="5">
        <f>COUNTIF('WCAG checklist'!E:E,"Cannot tell")</f>
        <v>0</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9" t="s">
        <v>31</v>
      </c>
      <c r="B28" s="5">
        <f>COUNTIF('WCAG checklist'!E:E,"Not applicable")</f>
        <v>23</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9" t="s">
        <v>32</v>
      </c>
      <c r="B29" s="5">
        <f>COUNTIF('WCAG checklist'!E:E,"Pass")+COUNTIF('WCAG checklist'!E:E,"Fail")+COUNTIF('WCAG checklist'!E:E,"Cannot tell")</f>
        <v>32</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9" t="s">
        <v>33</v>
      </c>
      <c r="B30" s="5" t="str">
        <f>IF(($B$29)=0,"-",TEXT(COUNTIF('WCAG checklist'!E:E,"Pass")/($B$29),"0%"))</f>
        <v>72%</v>
      </c>
      <c r="C30" s="2"/>
      <c r="D30" s="2"/>
      <c r="E30" s="2"/>
      <c r="F30" s="2"/>
      <c r="G30" s="2"/>
      <c r="H30" s="2"/>
      <c r="I30" s="2"/>
      <c r="J30" s="2"/>
      <c r="K30" s="2"/>
      <c r="L30" s="2"/>
      <c r="M30" s="2"/>
      <c r="N30" s="2"/>
      <c r="O30" s="2"/>
      <c r="P30" s="2"/>
      <c r="Q30" s="2"/>
      <c r="R30" s="2"/>
      <c r="S30" s="2"/>
      <c r="T30" s="2"/>
      <c r="U30" s="2"/>
      <c r="V30" s="2"/>
      <c r="W30" s="2"/>
      <c r="X30" s="2"/>
      <c r="Y30" s="2"/>
      <c r="Z30" s="2"/>
    </row>
    <row r="31" ht="43.5" customHeight="1">
      <c r="A31" s="10" t="s">
        <v>34</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B1"/>
    <mergeCell ref="A2:B2"/>
    <mergeCell ref="A31:B3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
    <col customWidth="1" min="2" max="2" width="18.0"/>
    <col customWidth="1" min="3" max="3" width="22.0"/>
    <col customWidth="1" min="4" max="4" width="20.0"/>
    <col customWidth="1" min="5" max="5" width="24.0"/>
    <col customWidth="1" min="6" max="6" width="44.0"/>
    <col customWidth="1" min="7" max="7" width="22.0"/>
    <col customWidth="1" min="8" max="8" width="12.0"/>
    <col customWidth="1" min="9" max="9" width="44.0"/>
    <col customWidth="1" min="10" max="10" width="18.0"/>
  </cols>
  <sheetData>
    <row r="1" ht="26.25" customHeight="1">
      <c r="A1" s="11" t="s">
        <v>35</v>
      </c>
      <c r="B1" s="11" t="s">
        <v>36</v>
      </c>
      <c r="C1" s="11" t="s">
        <v>37</v>
      </c>
      <c r="D1" s="11" t="s">
        <v>38</v>
      </c>
      <c r="E1" s="11" t="s">
        <v>39</v>
      </c>
      <c r="F1" s="11" t="s">
        <v>40</v>
      </c>
      <c r="G1" s="11" t="s">
        <v>41</v>
      </c>
      <c r="H1" s="11" t="s">
        <v>42</v>
      </c>
      <c r="I1" s="11" t="s">
        <v>43</v>
      </c>
      <c r="J1" s="11" t="s">
        <v>44</v>
      </c>
      <c r="K1" s="2"/>
      <c r="L1" s="2"/>
      <c r="M1" s="2"/>
      <c r="N1" s="2"/>
      <c r="O1" s="2"/>
      <c r="P1" s="2"/>
      <c r="Q1" s="2"/>
      <c r="R1" s="2"/>
      <c r="S1" s="2"/>
      <c r="T1" s="2"/>
      <c r="U1" s="2"/>
      <c r="V1" s="2"/>
      <c r="W1" s="2"/>
      <c r="X1" s="2"/>
      <c r="Y1" s="2"/>
      <c r="Z1" s="2"/>
    </row>
    <row r="2" ht="70.5" customHeight="1">
      <c r="A2" s="12" t="s">
        <v>45</v>
      </c>
      <c r="B2" s="12" t="s">
        <v>13</v>
      </c>
      <c r="C2" s="12" t="s">
        <v>46</v>
      </c>
      <c r="D2" s="12" t="s">
        <v>47</v>
      </c>
      <c r="E2" s="12" t="s">
        <v>48</v>
      </c>
      <c r="F2" s="13" t="s">
        <v>49</v>
      </c>
      <c r="G2" s="12" t="s">
        <v>50</v>
      </c>
      <c r="H2" s="12" t="s">
        <v>22</v>
      </c>
      <c r="I2" s="12" t="s">
        <v>51</v>
      </c>
      <c r="J2" s="12" t="s">
        <v>52</v>
      </c>
      <c r="K2" s="2"/>
      <c r="L2" s="2"/>
      <c r="M2" s="2"/>
      <c r="N2" s="2"/>
      <c r="O2" s="2"/>
      <c r="P2" s="2"/>
      <c r="Q2" s="2"/>
      <c r="R2" s="2"/>
      <c r="S2" s="2"/>
      <c r="T2" s="2"/>
      <c r="U2" s="2"/>
      <c r="V2" s="2"/>
      <c r="W2" s="2"/>
      <c r="X2" s="2"/>
      <c r="Y2" s="2"/>
      <c r="Z2" s="2"/>
    </row>
    <row r="3" ht="72.0" customHeight="1">
      <c r="A3" s="12" t="s">
        <v>53</v>
      </c>
      <c r="B3" s="12" t="s">
        <v>13</v>
      </c>
      <c r="C3" s="12" t="s">
        <v>46</v>
      </c>
      <c r="D3" s="12" t="s">
        <v>47</v>
      </c>
      <c r="E3" s="12" t="s">
        <v>54</v>
      </c>
      <c r="F3" s="12" t="s">
        <v>55</v>
      </c>
      <c r="G3" s="12" t="s">
        <v>56</v>
      </c>
      <c r="H3" s="12" t="s">
        <v>22</v>
      </c>
      <c r="I3" s="12" t="s">
        <v>51</v>
      </c>
      <c r="J3" s="12" t="s">
        <v>57</v>
      </c>
      <c r="K3" s="2"/>
      <c r="L3" s="2"/>
      <c r="M3" s="2"/>
      <c r="N3" s="2"/>
      <c r="O3" s="2"/>
      <c r="P3" s="2"/>
      <c r="Q3" s="2"/>
      <c r="R3" s="2"/>
      <c r="S3" s="2"/>
      <c r="T3" s="2"/>
      <c r="U3" s="2"/>
      <c r="V3" s="2"/>
      <c r="W3" s="2"/>
      <c r="X3" s="2"/>
      <c r="Y3" s="2"/>
      <c r="Z3" s="2"/>
    </row>
    <row r="4" ht="91.5" customHeight="1">
      <c r="A4" s="12" t="s">
        <v>58</v>
      </c>
      <c r="B4" s="12" t="s">
        <v>13</v>
      </c>
      <c r="C4" s="12" t="s">
        <v>46</v>
      </c>
      <c r="D4" s="12" t="s">
        <v>47</v>
      </c>
      <c r="E4" s="12" t="s">
        <v>59</v>
      </c>
      <c r="F4" s="12" t="s">
        <v>60</v>
      </c>
      <c r="G4" s="12" t="s">
        <v>61</v>
      </c>
      <c r="H4" s="12" t="s">
        <v>22</v>
      </c>
      <c r="I4" s="12" t="s">
        <v>51</v>
      </c>
      <c r="J4" s="12" t="s">
        <v>62</v>
      </c>
      <c r="K4" s="2"/>
      <c r="L4" s="2"/>
      <c r="M4" s="2"/>
      <c r="N4" s="2"/>
      <c r="O4" s="2"/>
      <c r="P4" s="2"/>
      <c r="Q4" s="2"/>
      <c r="R4" s="2"/>
      <c r="S4" s="2"/>
      <c r="T4" s="2"/>
      <c r="U4" s="2"/>
      <c r="V4" s="2"/>
      <c r="W4" s="2"/>
      <c r="X4" s="2"/>
      <c r="Y4" s="2"/>
      <c r="Z4" s="2"/>
    </row>
    <row r="5" ht="91.5" customHeight="1">
      <c r="A5" s="12" t="s">
        <v>63</v>
      </c>
      <c r="B5" s="12" t="s">
        <v>13</v>
      </c>
      <c r="C5" s="12" t="s">
        <v>46</v>
      </c>
      <c r="D5" s="12" t="s">
        <v>47</v>
      </c>
      <c r="E5" s="12" t="s">
        <v>64</v>
      </c>
      <c r="F5" s="12" t="s">
        <v>65</v>
      </c>
      <c r="G5" s="12" t="s">
        <v>56</v>
      </c>
      <c r="H5" s="12" t="s">
        <v>23</v>
      </c>
      <c r="I5" s="12" t="s">
        <v>51</v>
      </c>
      <c r="J5" s="12"/>
      <c r="K5" s="2"/>
      <c r="L5" s="2"/>
      <c r="M5" s="2"/>
      <c r="N5" s="2"/>
      <c r="O5" s="2"/>
      <c r="P5" s="2"/>
      <c r="Q5" s="2"/>
      <c r="R5" s="2"/>
      <c r="S5" s="2"/>
      <c r="T5" s="2"/>
      <c r="U5" s="2"/>
      <c r="V5" s="2"/>
      <c r="W5" s="2"/>
      <c r="X5" s="2"/>
      <c r="Y5" s="2"/>
      <c r="Z5" s="2"/>
    </row>
    <row r="6" ht="91.5" customHeight="1">
      <c r="A6" s="12" t="s">
        <v>66</v>
      </c>
      <c r="B6" s="12" t="s">
        <v>13</v>
      </c>
      <c r="C6" s="12" t="s">
        <v>46</v>
      </c>
      <c r="D6" s="12" t="s">
        <v>47</v>
      </c>
      <c r="E6" s="12" t="s">
        <v>67</v>
      </c>
      <c r="F6" s="12" t="s">
        <v>68</v>
      </c>
      <c r="G6" s="12" t="s">
        <v>56</v>
      </c>
      <c r="H6" s="12" t="s">
        <v>22</v>
      </c>
      <c r="I6" s="12" t="s">
        <v>51</v>
      </c>
      <c r="J6" s="12"/>
      <c r="K6" s="2"/>
      <c r="L6" s="2"/>
      <c r="M6" s="2"/>
      <c r="N6" s="2"/>
      <c r="O6" s="2"/>
      <c r="P6" s="2"/>
      <c r="Q6" s="2"/>
      <c r="R6" s="2"/>
      <c r="S6" s="2"/>
      <c r="T6" s="2"/>
      <c r="U6" s="2"/>
      <c r="V6" s="2"/>
      <c r="W6" s="2"/>
      <c r="X6" s="2"/>
      <c r="Y6" s="2"/>
      <c r="Z6" s="2"/>
    </row>
    <row r="7" ht="93.0" customHeight="1">
      <c r="A7" s="12" t="s">
        <v>69</v>
      </c>
      <c r="B7" s="12" t="s">
        <v>13</v>
      </c>
      <c r="C7" s="12" t="s">
        <v>46</v>
      </c>
      <c r="D7" s="12" t="s">
        <v>70</v>
      </c>
      <c r="E7" s="12" t="s">
        <v>71</v>
      </c>
      <c r="F7" s="12" t="s">
        <v>72</v>
      </c>
      <c r="G7" s="12" t="s">
        <v>50</v>
      </c>
      <c r="H7" s="12" t="s">
        <v>22</v>
      </c>
      <c r="I7" s="12" t="s">
        <v>73</v>
      </c>
      <c r="J7" s="12"/>
      <c r="K7" s="2"/>
      <c r="L7" s="2"/>
      <c r="M7" s="2"/>
      <c r="N7" s="2"/>
      <c r="O7" s="2"/>
      <c r="P7" s="2"/>
      <c r="Q7" s="2"/>
      <c r="R7" s="2"/>
      <c r="S7" s="2"/>
      <c r="T7" s="2"/>
      <c r="U7" s="2"/>
      <c r="V7" s="2"/>
      <c r="W7" s="2"/>
      <c r="X7" s="2"/>
      <c r="Y7" s="2"/>
      <c r="Z7" s="2"/>
    </row>
    <row r="8" ht="102.0" customHeight="1">
      <c r="A8" s="12" t="s">
        <v>74</v>
      </c>
      <c r="B8" s="12" t="s">
        <v>13</v>
      </c>
      <c r="C8" s="12" t="s">
        <v>46</v>
      </c>
      <c r="D8" s="12" t="s">
        <v>75</v>
      </c>
      <c r="E8" s="12" t="s">
        <v>76</v>
      </c>
      <c r="F8" s="12" t="s">
        <v>77</v>
      </c>
      <c r="G8" s="12" t="s">
        <v>78</v>
      </c>
      <c r="H8" s="12" t="s">
        <v>22</v>
      </c>
      <c r="I8" s="13" t="s">
        <v>79</v>
      </c>
      <c r="J8" s="12"/>
      <c r="K8" s="2"/>
      <c r="L8" s="2"/>
      <c r="M8" s="2"/>
      <c r="N8" s="2"/>
      <c r="O8" s="2"/>
      <c r="P8" s="2"/>
      <c r="Q8" s="2"/>
      <c r="R8" s="2"/>
      <c r="S8" s="2"/>
      <c r="T8" s="2"/>
      <c r="U8" s="2"/>
      <c r="V8" s="2"/>
      <c r="W8" s="2"/>
      <c r="X8" s="2"/>
      <c r="Y8" s="2"/>
      <c r="Z8" s="2"/>
    </row>
    <row r="9" ht="130.5" customHeight="1">
      <c r="A9" s="12" t="s">
        <v>80</v>
      </c>
      <c r="B9" s="12" t="s">
        <v>13</v>
      </c>
      <c r="C9" s="12" t="s">
        <v>46</v>
      </c>
      <c r="D9" s="12" t="s">
        <v>75</v>
      </c>
      <c r="E9" s="12" t="s">
        <v>81</v>
      </c>
      <c r="F9" s="13" t="s">
        <v>82</v>
      </c>
      <c r="G9" s="12" t="s">
        <v>83</v>
      </c>
      <c r="H9" s="12" t="s">
        <v>24</v>
      </c>
      <c r="I9" s="13" t="s">
        <v>84</v>
      </c>
      <c r="J9" s="12"/>
      <c r="K9" s="2"/>
      <c r="L9" s="2"/>
      <c r="M9" s="2"/>
      <c r="N9" s="2"/>
      <c r="O9" s="2"/>
      <c r="P9" s="2"/>
      <c r="Q9" s="2"/>
      <c r="R9" s="2"/>
      <c r="S9" s="2"/>
      <c r="T9" s="2"/>
      <c r="U9" s="2"/>
      <c r="V9" s="2"/>
      <c r="W9" s="2"/>
      <c r="X9" s="2"/>
      <c r="Y9" s="2"/>
      <c r="Z9" s="2"/>
    </row>
    <row r="10" ht="99.0" customHeight="1">
      <c r="A10" s="12" t="s">
        <v>85</v>
      </c>
      <c r="B10" s="12" t="s">
        <v>13</v>
      </c>
      <c r="C10" s="12" t="s">
        <v>46</v>
      </c>
      <c r="D10" s="12" t="s">
        <v>86</v>
      </c>
      <c r="E10" s="12" t="s">
        <v>87</v>
      </c>
      <c r="F10" s="12" t="s">
        <v>88</v>
      </c>
      <c r="G10" s="12" t="s">
        <v>56</v>
      </c>
      <c r="H10" s="12" t="s">
        <v>23</v>
      </c>
      <c r="I10" s="12" t="s">
        <v>89</v>
      </c>
      <c r="J10" s="12"/>
      <c r="K10" s="2"/>
      <c r="L10" s="2"/>
      <c r="M10" s="2"/>
      <c r="N10" s="2"/>
      <c r="O10" s="2"/>
      <c r="P10" s="2"/>
      <c r="Q10" s="2"/>
      <c r="R10" s="2"/>
      <c r="S10" s="2"/>
      <c r="T10" s="2"/>
      <c r="U10" s="2"/>
      <c r="V10" s="2"/>
      <c r="W10" s="2"/>
      <c r="X10" s="2"/>
      <c r="Y10" s="2"/>
      <c r="Z10" s="2"/>
    </row>
    <row r="11" ht="112.5" customHeight="1">
      <c r="A11" s="12" t="s">
        <v>90</v>
      </c>
      <c r="B11" s="12" t="s">
        <v>13</v>
      </c>
      <c r="C11" s="12" t="s">
        <v>46</v>
      </c>
      <c r="D11" s="12" t="s">
        <v>91</v>
      </c>
      <c r="E11" s="13" t="s">
        <v>92</v>
      </c>
      <c r="F11" s="12" t="s">
        <v>93</v>
      </c>
      <c r="G11" s="12" t="s">
        <v>56</v>
      </c>
      <c r="H11" s="12" t="s">
        <v>21</v>
      </c>
      <c r="I11" s="12" t="s">
        <v>94</v>
      </c>
      <c r="J11" s="12"/>
      <c r="K11" s="2"/>
      <c r="L11" s="2"/>
      <c r="M11" s="2"/>
      <c r="N11" s="2"/>
      <c r="O11" s="2"/>
      <c r="P11" s="2"/>
      <c r="Q11" s="2"/>
      <c r="R11" s="2"/>
      <c r="S11" s="2"/>
      <c r="T11" s="2"/>
      <c r="U11" s="2"/>
      <c r="V11" s="2"/>
      <c r="W11" s="2"/>
      <c r="X11" s="2"/>
      <c r="Y11" s="2"/>
      <c r="Z11" s="2"/>
    </row>
    <row r="12" ht="100.5" customHeight="1">
      <c r="A12" s="12" t="s">
        <v>95</v>
      </c>
      <c r="B12" s="12" t="s">
        <v>13</v>
      </c>
      <c r="C12" s="12" t="s">
        <v>46</v>
      </c>
      <c r="D12" s="12" t="s">
        <v>96</v>
      </c>
      <c r="E12" s="12" t="s">
        <v>97</v>
      </c>
      <c r="F12" s="12" t="s">
        <v>98</v>
      </c>
      <c r="G12" s="12" t="s">
        <v>50</v>
      </c>
      <c r="H12" s="12" t="s">
        <v>22</v>
      </c>
      <c r="I12" s="12" t="s">
        <v>99</v>
      </c>
      <c r="J12" s="12"/>
      <c r="K12" s="2"/>
      <c r="L12" s="2"/>
      <c r="M12" s="2"/>
      <c r="N12" s="2"/>
      <c r="O12" s="2"/>
      <c r="P12" s="2"/>
      <c r="Q12" s="2"/>
      <c r="R12" s="2"/>
      <c r="S12" s="2"/>
      <c r="T12" s="2"/>
      <c r="U12" s="2"/>
      <c r="V12" s="2"/>
      <c r="W12" s="2"/>
      <c r="X12" s="2"/>
      <c r="Y12" s="2"/>
      <c r="Z12" s="2"/>
    </row>
    <row r="13" ht="102.0" customHeight="1">
      <c r="A13" s="12" t="s">
        <v>100</v>
      </c>
      <c r="B13" s="12" t="s">
        <v>13</v>
      </c>
      <c r="C13" s="12" t="s">
        <v>46</v>
      </c>
      <c r="D13" s="12" t="s">
        <v>101</v>
      </c>
      <c r="E13" s="12" t="s">
        <v>102</v>
      </c>
      <c r="F13" s="13" t="s">
        <v>103</v>
      </c>
      <c r="G13" s="12" t="s">
        <v>104</v>
      </c>
      <c r="H13" s="12" t="s">
        <v>23</v>
      </c>
      <c r="I13" s="12" t="s">
        <v>105</v>
      </c>
      <c r="J13" s="12" t="s">
        <v>106</v>
      </c>
      <c r="K13" s="2"/>
      <c r="L13" s="2"/>
      <c r="M13" s="2"/>
      <c r="N13" s="2"/>
      <c r="O13" s="2"/>
      <c r="P13" s="2"/>
      <c r="Q13" s="2"/>
      <c r="R13" s="2"/>
      <c r="S13" s="2"/>
      <c r="T13" s="2"/>
      <c r="U13" s="2"/>
      <c r="V13" s="2"/>
      <c r="W13" s="2"/>
      <c r="X13" s="2"/>
      <c r="Y13" s="2"/>
      <c r="Z13" s="2"/>
    </row>
    <row r="14" ht="134.25" customHeight="1">
      <c r="A14" s="12" t="s">
        <v>107</v>
      </c>
      <c r="B14" s="12" t="s">
        <v>13</v>
      </c>
      <c r="C14" s="12" t="s">
        <v>46</v>
      </c>
      <c r="D14" s="12" t="s">
        <v>108</v>
      </c>
      <c r="E14" s="12" t="s">
        <v>109</v>
      </c>
      <c r="F14" s="12" t="s">
        <v>110</v>
      </c>
      <c r="G14" s="12" t="s">
        <v>104</v>
      </c>
      <c r="H14" s="12" t="s">
        <v>22</v>
      </c>
      <c r="I14" s="12" t="s">
        <v>111</v>
      </c>
      <c r="J14" s="12" t="s">
        <v>112</v>
      </c>
      <c r="K14" s="2"/>
      <c r="L14" s="2"/>
      <c r="M14" s="2"/>
      <c r="N14" s="2"/>
      <c r="O14" s="2"/>
      <c r="P14" s="2"/>
      <c r="Q14" s="2"/>
      <c r="R14" s="2"/>
      <c r="S14" s="2"/>
      <c r="T14" s="2"/>
      <c r="U14" s="2"/>
      <c r="V14" s="2"/>
      <c r="W14" s="2"/>
      <c r="X14" s="2"/>
      <c r="Y14" s="2"/>
      <c r="Z14" s="2"/>
    </row>
    <row r="15" ht="92.25" customHeight="1">
      <c r="A15" s="12" t="s">
        <v>113</v>
      </c>
      <c r="B15" s="12" t="s">
        <v>13</v>
      </c>
      <c r="C15" s="12" t="s">
        <v>46</v>
      </c>
      <c r="D15" s="12" t="s">
        <v>101</v>
      </c>
      <c r="E15" s="12" t="s">
        <v>114</v>
      </c>
      <c r="F15" s="12" t="s">
        <v>115</v>
      </c>
      <c r="G15" s="12" t="s">
        <v>104</v>
      </c>
      <c r="H15" s="12" t="s">
        <v>22</v>
      </c>
      <c r="I15" s="12" t="s">
        <v>116</v>
      </c>
      <c r="J15" s="12" t="s">
        <v>117</v>
      </c>
      <c r="K15" s="2"/>
      <c r="L15" s="2"/>
      <c r="M15" s="2"/>
      <c r="N15" s="2"/>
      <c r="O15" s="2"/>
      <c r="P15" s="2"/>
      <c r="Q15" s="2"/>
      <c r="R15" s="2"/>
      <c r="S15" s="2"/>
      <c r="T15" s="2"/>
      <c r="U15" s="2"/>
      <c r="V15" s="2"/>
      <c r="W15" s="2"/>
      <c r="X15" s="2"/>
      <c r="Y15" s="2"/>
      <c r="Z15" s="2"/>
    </row>
    <row r="16" ht="96.0" customHeight="1">
      <c r="A16" s="12" t="s">
        <v>118</v>
      </c>
      <c r="B16" s="12" t="s">
        <v>13</v>
      </c>
      <c r="C16" s="12" t="s">
        <v>46</v>
      </c>
      <c r="D16" s="12" t="s">
        <v>101</v>
      </c>
      <c r="E16" s="12" t="s">
        <v>119</v>
      </c>
      <c r="F16" s="12" t="s">
        <v>120</v>
      </c>
      <c r="G16" s="12" t="s">
        <v>121</v>
      </c>
      <c r="H16" s="12" t="s">
        <v>23</v>
      </c>
      <c r="I16" s="12" t="s">
        <v>122</v>
      </c>
      <c r="J16" s="13" t="s">
        <v>123</v>
      </c>
      <c r="K16" s="2"/>
      <c r="L16" s="2"/>
      <c r="M16" s="2"/>
      <c r="N16" s="2"/>
      <c r="O16" s="2"/>
      <c r="P16" s="2"/>
      <c r="Q16" s="2"/>
      <c r="R16" s="2"/>
      <c r="S16" s="2"/>
      <c r="T16" s="2"/>
      <c r="U16" s="2"/>
      <c r="V16" s="2"/>
      <c r="W16" s="2"/>
      <c r="X16" s="2"/>
      <c r="Y16" s="2"/>
      <c r="Z16" s="2"/>
    </row>
    <row r="17" ht="132.75" customHeight="1">
      <c r="A17" s="12" t="s">
        <v>124</v>
      </c>
      <c r="B17" s="12" t="s">
        <v>13</v>
      </c>
      <c r="C17" s="12" t="s">
        <v>46</v>
      </c>
      <c r="D17" s="12" t="s">
        <v>125</v>
      </c>
      <c r="E17" s="12" t="s">
        <v>126</v>
      </c>
      <c r="F17" s="12" t="s">
        <v>127</v>
      </c>
      <c r="G17" s="12" t="s">
        <v>104</v>
      </c>
      <c r="H17" s="12" t="s">
        <v>22</v>
      </c>
      <c r="I17" s="12" t="s">
        <v>128</v>
      </c>
      <c r="J17" s="12" t="s">
        <v>129</v>
      </c>
      <c r="K17" s="2"/>
      <c r="L17" s="2"/>
      <c r="M17" s="2"/>
      <c r="N17" s="2"/>
      <c r="O17" s="2"/>
      <c r="P17" s="2"/>
      <c r="Q17" s="2"/>
      <c r="R17" s="2"/>
      <c r="S17" s="2"/>
      <c r="T17" s="2"/>
      <c r="U17" s="2"/>
      <c r="V17" s="2"/>
      <c r="W17" s="2"/>
      <c r="X17" s="2"/>
      <c r="Y17" s="2"/>
      <c r="Z17" s="2"/>
    </row>
    <row r="18" ht="121.5" customHeight="1">
      <c r="A18" s="12" t="s">
        <v>130</v>
      </c>
      <c r="B18" s="12" t="s">
        <v>13</v>
      </c>
      <c r="C18" s="12" t="s">
        <v>46</v>
      </c>
      <c r="D18" s="12" t="s">
        <v>131</v>
      </c>
      <c r="E18" s="12" t="s">
        <v>132</v>
      </c>
      <c r="F18" s="12" t="s">
        <v>133</v>
      </c>
      <c r="G18" s="12" t="s">
        <v>134</v>
      </c>
      <c r="H18" s="12" t="s">
        <v>23</v>
      </c>
      <c r="I18" s="12" t="s">
        <v>135</v>
      </c>
      <c r="J18" s="12"/>
      <c r="K18" s="2"/>
      <c r="L18" s="2"/>
      <c r="M18" s="2"/>
      <c r="N18" s="2"/>
      <c r="O18" s="2"/>
      <c r="P18" s="2"/>
      <c r="Q18" s="2"/>
      <c r="R18" s="2"/>
      <c r="S18" s="2"/>
      <c r="T18" s="2"/>
      <c r="U18" s="2"/>
      <c r="V18" s="2"/>
      <c r="W18" s="2"/>
      <c r="X18" s="2"/>
      <c r="Y18" s="2"/>
      <c r="Z18" s="2"/>
    </row>
    <row r="19" ht="105.75" customHeight="1">
      <c r="A19" s="12" t="s">
        <v>136</v>
      </c>
      <c r="B19" s="12" t="s">
        <v>13</v>
      </c>
      <c r="C19" s="12" t="s">
        <v>46</v>
      </c>
      <c r="D19" s="12" t="s">
        <v>137</v>
      </c>
      <c r="E19" s="12" t="s">
        <v>138</v>
      </c>
      <c r="F19" s="12" t="s">
        <v>139</v>
      </c>
      <c r="G19" s="12" t="s">
        <v>140</v>
      </c>
      <c r="H19" s="12" t="s">
        <v>24</v>
      </c>
      <c r="I19" s="12" t="s">
        <v>141</v>
      </c>
      <c r="J19" s="12"/>
      <c r="K19" s="2"/>
      <c r="L19" s="2"/>
      <c r="M19" s="2"/>
      <c r="N19" s="2"/>
      <c r="O19" s="2"/>
      <c r="P19" s="2"/>
      <c r="Q19" s="2"/>
      <c r="R19" s="2"/>
      <c r="S19" s="2"/>
      <c r="T19" s="2"/>
      <c r="U19" s="2"/>
      <c r="V19" s="2"/>
      <c r="W19" s="2"/>
      <c r="X19" s="2"/>
      <c r="Y19" s="2"/>
      <c r="Z19" s="2"/>
    </row>
    <row r="20" ht="91.5" customHeight="1">
      <c r="A20" s="12" t="s">
        <v>142</v>
      </c>
      <c r="B20" s="12" t="s">
        <v>13</v>
      </c>
      <c r="C20" s="12" t="s">
        <v>46</v>
      </c>
      <c r="D20" s="12" t="s">
        <v>125</v>
      </c>
      <c r="E20" s="12" t="s">
        <v>143</v>
      </c>
      <c r="F20" s="12" t="s">
        <v>144</v>
      </c>
      <c r="G20" s="12" t="s">
        <v>134</v>
      </c>
      <c r="H20" s="12" t="s">
        <v>23</v>
      </c>
      <c r="I20" s="12" t="s">
        <v>145</v>
      </c>
      <c r="J20" s="12" t="s">
        <v>146</v>
      </c>
      <c r="K20" s="2"/>
      <c r="L20" s="2"/>
      <c r="M20" s="2"/>
      <c r="N20" s="2"/>
      <c r="O20" s="2"/>
      <c r="P20" s="2"/>
      <c r="Q20" s="2"/>
      <c r="R20" s="2"/>
      <c r="S20" s="2"/>
      <c r="T20" s="2"/>
      <c r="U20" s="2"/>
      <c r="V20" s="2"/>
      <c r="W20" s="2"/>
      <c r="X20" s="2"/>
      <c r="Y20" s="2"/>
      <c r="Z20" s="2"/>
    </row>
    <row r="21" ht="145.5" customHeight="1">
      <c r="A21" s="12" t="s">
        <v>147</v>
      </c>
      <c r="B21" s="12" t="s">
        <v>13</v>
      </c>
      <c r="C21" s="12" t="s">
        <v>46</v>
      </c>
      <c r="D21" s="12" t="s">
        <v>148</v>
      </c>
      <c r="E21" s="12" t="s">
        <v>149</v>
      </c>
      <c r="F21" s="13" t="s">
        <v>150</v>
      </c>
      <c r="G21" s="12" t="s">
        <v>83</v>
      </c>
      <c r="H21" s="12" t="s">
        <v>24</v>
      </c>
      <c r="I21" s="12" t="s">
        <v>151</v>
      </c>
      <c r="J21" s="12"/>
      <c r="K21" s="2"/>
      <c r="L21" s="2"/>
      <c r="M21" s="2"/>
      <c r="N21" s="2"/>
      <c r="O21" s="2"/>
      <c r="P21" s="2"/>
      <c r="Q21" s="2"/>
      <c r="R21" s="2"/>
      <c r="S21" s="2"/>
      <c r="T21" s="2"/>
      <c r="U21" s="2"/>
      <c r="V21" s="2"/>
      <c r="W21" s="2"/>
      <c r="X21" s="2"/>
      <c r="Y21" s="2"/>
      <c r="Z21" s="2"/>
    </row>
    <row r="22" ht="120.0" customHeight="1">
      <c r="A22" s="12" t="s">
        <v>152</v>
      </c>
      <c r="B22" s="12" t="s">
        <v>13</v>
      </c>
      <c r="C22" s="12" t="s">
        <v>46</v>
      </c>
      <c r="D22" s="12" t="s">
        <v>153</v>
      </c>
      <c r="E22" s="12" t="s">
        <v>154</v>
      </c>
      <c r="F22" s="12" t="s">
        <v>155</v>
      </c>
      <c r="G22" s="12" t="s">
        <v>156</v>
      </c>
      <c r="H22" s="12" t="s">
        <v>23</v>
      </c>
      <c r="I22" s="12" t="s">
        <v>157</v>
      </c>
      <c r="J22" s="12" t="s">
        <v>158</v>
      </c>
      <c r="K22" s="2"/>
      <c r="L22" s="2"/>
      <c r="M22" s="2"/>
      <c r="N22" s="2"/>
      <c r="O22" s="2"/>
      <c r="P22" s="2"/>
      <c r="Q22" s="2"/>
      <c r="R22" s="2"/>
      <c r="S22" s="2"/>
      <c r="T22" s="2"/>
      <c r="U22" s="2"/>
      <c r="V22" s="2"/>
      <c r="W22" s="2"/>
      <c r="X22" s="2"/>
      <c r="Y22" s="2"/>
      <c r="Z22" s="2"/>
    </row>
    <row r="23" ht="123.0" customHeight="1">
      <c r="A23" s="12" t="s">
        <v>159</v>
      </c>
      <c r="B23" s="12" t="s">
        <v>13</v>
      </c>
      <c r="C23" s="12" t="s">
        <v>46</v>
      </c>
      <c r="D23" s="12" t="s">
        <v>160</v>
      </c>
      <c r="E23" s="12" t="s">
        <v>161</v>
      </c>
      <c r="F23" s="12" t="s">
        <v>162</v>
      </c>
      <c r="G23" s="12" t="s">
        <v>104</v>
      </c>
      <c r="H23" s="12" t="s">
        <v>22</v>
      </c>
      <c r="I23" s="12" t="s">
        <v>163</v>
      </c>
      <c r="J23" s="12"/>
      <c r="K23" s="2"/>
      <c r="L23" s="2"/>
      <c r="M23" s="2"/>
      <c r="N23" s="2"/>
      <c r="O23" s="2"/>
      <c r="P23" s="2"/>
      <c r="Q23" s="2"/>
      <c r="R23" s="2"/>
      <c r="S23" s="2"/>
      <c r="T23" s="2"/>
      <c r="U23" s="2"/>
      <c r="V23" s="2"/>
      <c r="W23" s="2"/>
      <c r="X23" s="2"/>
      <c r="Y23" s="2"/>
      <c r="Z23" s="2"/>
    </row>
    <row r="24" ht="150.75" customHeight="1">
      <c r="A24" s="12" t="s">
        <v>164</v>
      </c>
      <c r="B24" s="12" t="s">
        <v>13</v>
      </c>
      <c r="C24" s="12" t="s">
        <v>46</v>
      </c>
      <c r="D24" s="12" t="s">
        <v>165</v>
      </c>
      <c r="E24" s="12" t="s">
        <v>166</v>
      </c>
      <c r="F24" s="13" t="s">
        <v>167</v>
      </c>
      <c r="G24" s="12" t="s">
        <v>168</v>
      </c>
      <c r="H24" s="12" t="s">
        <v>22</v>
      </c>
      <c r="I24" s="12" t="s">
        <v>169</v>
      </c>
      <c r="J24" s="12"/>
      <c r="K24" s="2"/>
      <c r="L24" s="2"/>
      <c r="M24" s="2"/>
      <c r="N24" s="2"/>
      <c r="O24" s="2"/>
      <c r="P24" s="2"/>
      <c r="Q24" s="2"/>
      <c r="R24" s="2"/>
      <c r="S24" s="2"/>
      <c r="T24" s="2"/>
      <c r="U24" s="2"/>
      <c r="V24" s="2"/>
      <c r="W24" s="2"/>
      <c r="X24" s="2"/>
      <c r="Y24" s="2"/>
      <c r="Z24" s="2"/>
    </row>
    <row r="25" ht="105.0" customHeight="1">
      <c r="A25" s="12" t="s">
        <v>170</v>
      </c>
      <c r="B25" s="12" t="s">
        <v>13</v>
      </c>
      <c r="C25" s="12" t="s">
        <v>46</v>
      </c>
      <c r="D25" s="12" t="s">
        <v>171</v>
      </c>
      <c r="E25" s="12" t="s">
        <v>172</v>
      </c>
      <c r="F25" s="12" t="s">
        <v>173</v>
      </c>
      <c r="G25" s="12" t="s">
        <v>104</v>
      </c>
      <c r="H25" s="12" t="s">
        <v>23</v>
      </c>
      <c r="I25" s="12" t="s">
        <v>174</v>
      </c>
      <c r="J25" s="12"/>
      <c r="K25" s="2"/>
      <c r="L25" s="2"/>
      <c r="M25" s="2"/>
      <c r="N25" s="2"/>
      <c r="O25" s="2"/>
      <c r="P25" s="2"/>
      <c r="Q25" s="2"/>
      <c r="R25" s="2"/>
      <c r="S25" s="2"/>
      <c r="T25" s="2"/>
      <c r="U25" s="2"/>
      <c r="V25" s="2"/>
      <c r="W25" s="2"/>
      <c r="X25" s="2"/>
      <c r="Y25" s="2"/>
      <c r="Z25" s="2"/>
    </row>
    <row r="26" ht="117.75" customHeight="1">
      <c r="A26" s="12" t="s">
        <v>175</v>
      </c>
      <c r="B26" s="12" t="s">
        <v>13</v>
      </c>
      <c r="C26" s="12" t="s">
        <v>46</v>
      </c>
      <c r="D26" s="12" t="s">
        <v>176</v>
      </c>
      <c r="E26" s="12" t="s">
        <v>177</v>
      </c>
      <c r="F26" s="12" t="s">
        <v>178</v>
      </c>
      <c r="G26" s="12" t="s">
        <v>179</v>
      </c>
      <c r="H26" s="12" t="s">
        <v>23</v>
      </c>
      <c r="I26" s="12" t="s">
        <v>180</v>
      </c>
      <c r="J26" s="1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H2:H26">
    <cfRule type="cellIs" dxfId="0" priority="1" operator="equal">
      <formula>"Critical"</formula>
    </cfRule>
  </conditionalFormatting>
  <conditionalFormatting sqref="H2:H26">
    <cfRule type="cellIs" dxfId="1" priority="2" operator="equal">
      <formula>"Serious"</formula>
    </cfRule>
  </conditionalFormatting>
  <conditionalFormatting sqref="H2:H26">
    <cfRule type="cellIs" dxfId="2" priority="3" operator="equal">
      <formula>"Moderate"</formula>
    </cfRule>
  </conditionalFormatting>
  <conditionalFormatting sqref="H2:H26">
    <cfRule type="cellIs" dxfId="3" priority="4" operator="equal">
      <formula>"Minor"</formula>
    </cfRule>
  </conditionalFormatting>
  <dataValidations>
    <dataValidation type="list" allowBlank="1" sqref="H2:H26">
      <formula1>"Critical,Serious,Moderate,Minor"</formula1>
    </dataValidation>
    <dataValidation type="list" allowBlank="1" sqref="B2:B26">
      <formula1>"Homepage,Job search page,Search results page,Job advertisement page,People with disability page"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0.0"/>
    <col customWidth="1" min="3" max="3" width="56.0"/>
    <col customWidth="1" min="4" max="4" width="8.0"/>
    <col customWidth="1" min="5" max="5" width="15.0"/>
    <col customWidth="1" min="6" max="6" width="28.0"/>
  </cols>
  <sheetData>
    <row r="1" ht="15.0" customHeight="1">
      <c r="A1" s="11" t="s">
        <v>181</v>
      </c>
      <c r="B1" s="11" t="s">
        <v>182</v>
      </c>
      <c r="C1" s="11" t="s">
        <v>183</v>
      </c>
      <c r="D1" s="11" t="s">
        <v>184</v>
      </c>
      <c r="E1" s="11" t="s">
        <v>185</v>
      </c>
      <c r="F1" s="11" t="s">
        <v>186</v>
      </c>
      <c r="G1" s="2"/>
      <c r="H1" s="2"/>
      <c r="I1" s="2"/>
      <c r="J1" s="2"/>
      <c r="K1" s="2"/>
      <c r="L1" s="2"/>
      <c r="M1" s="2"/>
      <c r="N1" s="2"/>
      <c r="O1" s="2"/>
      <c r="P1" s="2"/>
      <c r="Q1" s="2"/>
      <c r="R1" s="2"/>
      <c r="S1" s="2"/>
      <c r="T1" s="2"/>
      <c r="U1" s="2"/>
      <c r="V1" s="2"/>
      <c r="W1" s="2"/>
      <c r="X1" s="2"/>
      <c r="Y1" s="2"/>
      <c r="Z1" s="2"/>
    </row>
    <row r="2" ht="15.0" customHeight="1">
      <c r="A2" s="14" t="s">
        <v>187</v>
      </c>
      <c r="B2" s="15"/>
      <c r="C2" s="15"/>
      <c r="D2" s="15"/>
      <c r="E2" s="15"/>
      <c r="F2" s="16"/>
      <c r="G2" s="2"/>
      <c r="H2" s="2"/>
      <c r="I2" s="2"/>
      <c r="J2" s="2"/>
      <c r="K2" s="2"/>
      <c r="L2" s="2"/>
      <c r="M2" s="2"/>
      <c r="N2" s="2"/>
      <c r="O2" s="2"/>
      <c r="P2" s="2"/>
      <c r="Q2" s="2"/>
      <c r="R2" s="2"/>
      <c r="S2" s="2"/>
      <c r="T2" s="2"/>
      <c r="U2" s="2"/>
      <c r="V2" s="2"/>
      <c r="W2" s="2"/>
      <c r="X2" s="2"/>
      <c r="Y2" s="2"/>
      <c r="Z2" s="2"/>
    </row>
    <row r="3" ht="34.5" customHeight="1">
      <c r="A3" s="5" t="s">
        <v>188</v>
      </c>
      <c r="B3" s="5" t="s">
        <v>189</v>
      </c>
      <c r="C3" s="5" t="s">
        <v>190</v>
      </c>
      <c r="D3" s="17" t="s">
        <v>191</v>
      </c>
      <c r="E3" s="17" t="s">
        <v>192</v>
      </c>
      <c r="F3" s="5" t="s">
        <v>193</v>
      </c>
      <c r="G3" s="2"/>
      <c r="H3" s="2"/>
      <c r="I3" s="2"/>
      <c r="J3" s="2"/>
      <c r="K3" s="2"/>
      <c r="L3" s="2"/>
      <c r="M3" s="2"/>
      <c r="N3" s="2"/>
      <c r="O3" s="2"/>
      <c r="P3" s="2"/>
      <c r="Q3" s="2"/>
      <c r="R3" s="2"/>
      <c r="S3" s="2"/>
      <c r="T3" s="2"/>
      <c r="U3" s="2"/>
      <c r="V3" s="2"/>
      <c r="W3" s="2"/>
      <c r="X3" s="2"/>
      <c r="Y3" s="2"/>
      <c r="Z3" s="2"/>
    </row>
    <row r="4" ht="30.0" customHeight="1">
      <c r="A4" s="5" t="s">
        <v>194</v>
      </c>
      <c r="B4" s="5" t="s">
        <v>195</v>
      </c>
      <c r="C4" s="5" t="s">
        <v>196</v>
      </c>
      <c r="D4" s="17" t="s">
        <v>191</v>
      </c>
      <c r="E4" s="17" t="s">
        <v>31</v>
      </c>
      <c r="F4" s="5"/>
      <c r="G4" s="2"/>
      <c r="H4" s="2"/>
      <c r="I4" s="2"/>
      <c r="J4" s="2"/>
      <c r="K4" s="2"/>
      <c r="L4" s="2"/>
      <c r="M4" s="2"/>
      <c r="N4" s="2"/>
      <c r="O4" s="2"/>
      <c r="P4" s="2"/>
      <c r="Q4" s="2"/>
      <c r="R4" s="2"/>
      <c r="S4" s="2"/>
      <c r="T4" s="2"/>
      <c r="U4" s="2"/>
      <c r="V4" s="2"/>
      <c r="W4" s="2"/>
      <c r="X4" s="2"/>
      <c r="Y4" s="2"/>
      <c r="Z4" s="2"/>
    </row>
    <row r="5" ht="30.0" customHeight="1">
      <c r="A5" s="5" t="s">
        <v>197</v>
      </c>
      <c r="B5" s="5" t="s">
        <v>198</v>
      </c>
      <c r="C5" s="5" t="s">
        <v>199</v>
      </c>
      <c r="D5" s="17" t="s">
        <v>191</v>
      </c>
      <c r="E5" s="17" t="s">
        <v>31</v>
      </c>
      <c r="F5" s="5"/>
      <c r="G5" s="2"/>
      <c r="H5" s="2"/>
      <c r="I5" s="2"/>
      <c r="J5" s="2"/>
      <c r="K5" s="2"/>
      <c r="L5" s="2"/>
      <c r="M5" s="2"/>
      <c r="N5" s="2"/>
      <c r="O5" s="2"/>
      <c r="P5" s="2"/>
      <c r="Q5" s="2"/>
      <c r="R5" s="2"/>
      <c r="S5" s="2"/>
      <c r="T5" s="2"/>
      <c r="U5" s="2"/>
      <c r="V5" s="2"/>
      <c r="W5" s="2"/>
      <c r="X5" s="2"/>
      <c r="Y5" s="2"/>
      <c r="Z5" s="2"/>
    </row>
    <row r="6" ht="30.0" customHeight="1">
      <c r="A6" s="5" t="s">
        <v>200</v>
      </c>
      <c r="B6" s="5" t="s">
        <v>201</v>
      </c>
      <c r="C6" s="5" t="s">
        <v>202</v>
      </c>
      <c r="D6" s="17" t="s">
        <v>191</v>
      </c>
      <c r="E6" s="17" t="s">
        <v>31</v>
      </c>
      <c r="F6" s="5"/>
      <c r="G6" s="2"/>
      <c r="H6" s="2"/>
      <c r="I6" s="2"/>
      <c r="J6" s="2"/>
      <c r="K6" s="2"/>
      <c r="L6" s="2"/>
      <c r="M6" s="2"/>
      <c r="N6" s="2"/>
      <c r="O6" s="2"/>
      <c r="P6" s="2"/>
      <c r="Q6" s="2"/>
      <c r="R6" s="2"/>
      <c r="S6" s="2"/>
      <c r="T6" s="2"/>
      <c r="U6" s="2"/>
      <c r="V6" s="2"/>
      <c r="W6" s="2"/>
      <c r="X6" s="2"/>
      <c r="Y6" s="2"/>
      <c r="Z6" s="2"/>
    </row>
    <row r="7" ht="30.0" customHeight="1">
      <c r="A7" s="5" t="s">
        <v>203</v>
      </c>
      <c r="B7" s="5" t="s">
        <v>204</v>
      </c>
      <c r="C7" s="5" t="s">
        <v>205</v>
      </c>
      <c r="D7" s="17" t="s">
        <v>206</v>
      </c>
      <c r="E7" s="17" t="s">
        <v>31</v>
      </c>
      <c r="F7" s="5"/>
      <c r="G7" s="2"/>
      <c r="H7" s="2"/>
      <c r="I7" s="2"/>
      <c r="J7" s="2"/>
      <c r="K7" s="2"/>
      <c r="L7" s="2"/>
      <c r="M7" s="2"/>
      <c r="N7" s="2"/>
      <c r="O7" s="2"/>
      <c r="P7" s="2"/>
      <c r="Q7" s="2"/>
      <c r="R7" s="2"/>
      <c r="S7" s="2"/>
      <c r="T7" s="2"/>
      <c r="U7" s="2"/>
      <c r="V7" s="2"/>
      <c r="W7" s="2"/>
      <c r="X7" s="2"/>
      <c r="Y7" s="2"/>
      <c r="Z7" s="2"/>
    </row>
    <row r="8" ht="30.0" customHeight="1">
      <c r="A8" s="5" t="s">
        <v>207</v>
      </c>
      <c r="B8" s="5" t="s">
        <v>208</v>
      </c>
      <c r="C8" s="5" t="s">
        <v>209</v>
      </c>
      <c r="D8" s="17" t="s">
        <v>206</v>
      </c>
      <c r="E8" s="17" t="s">
        <v>31</v>
      </c>
      <c r="F8" s="5"/>
      <c r="G8" s="2"/>
      <c r="H8" s="2"/>
      <c r="I8" s="2"/>
      <c r="J8" s="2"/>
      <c r="K8" s="2"/>
      <c r="L8" s="2"/>
      <c r="M8" s="2"/>
      <c r="N8" s="2"/>
      <c r="O8" s="2"/>
      <c r="P8" s="2"/>
      <c r="Q8" s="2"/>
      <c r="R8" s="2"/>
      <c r="S8" s="2"/>
      <c r="T8" s="2"/>
      <c r="U8" s="2"/>
      <c r="V8" s="2"/>
      <c r="W8" s="2"/>
      <c r="X8" s="2"/>
      <c r="Y8" s="2"/>
      <c r="Z8" s="2"/>
    </row>
    <row r="9" ht="30.0" customHeight="1">
      <c r="A9" s="5" t="s">
        <v>210</v>
      </c>
      <c r="B9" s="5" t="s">
        <v>211</v>
      </c>
      <c r="C9" s="5" t="s">
        <v>212</v>
      </c>
      <c r="D9" s="17" t="s">
        <v>191</v>
      </c>
      <c r="E9" s="17" t="s">
        <v>213</v>
      </c>
      <c r="F9" s="5" t="s">
        <v>214</v>
      </c>
      <c r="G9" s="2"/>
      <c r="H9" s="2"/>
      <c r="I9" s="2"/>
      <c r="J9" s="2"/>
      <c r="K9" s="2"/>
      <c r="L9" s="2"/>
      <c r="M9" s="2"/>
      <c r="N9" s="2"/>
      <c r="O9" s="2"/>
      <c r="P9" s="2"/>
      <c r="Q9" s="2"/>
      <c r="R9" s="2"/>
      <c r="S9" s="2"/>
      <c r="T9" s="2"/>
      <c r="U9" s="2"/>
      <c r="V9" s="2"/>
      <c r="W9" s="2"/>
      <c r="X9" s="2"/>
      <c r="Y9" s="2"/>
      <c r="Z9" s="2"/>
    </row>
    <row r="10" ht="30.0" customHeight="1">
      <c r="A10" s="5" t="s">
        <v>215</v>
      </c>
      <c r="B10" s="5" t="s">
        <v>216</v>
      </c>
      <c r="C10" s="5" t="s">
        <v>217</v>
      </c>
      <c r="D10" s="17" t="s">
        <v>191</v>
      </c>
      <c r="E10" s="17" t="s">
        <v>192</v>
      </c>
      <c r="F10" s="5"/>
      <c r="G10" s="2"/>
      <c r="H10" s="2"/>
      <c r="I10" s="2"/>
      <c r="J10" s="2"/>
      <c r="K10" s="2"/>
      <c r="L10" s="2"/>
      <c r="M10" s="2"/>
      <c r="N10" s="2"/>
      <c r="O10" s="2"/>
      <c r="P10" s="2"/>
      <c r="Q10" s="2"/>
      <c r="R10" s="2"/>
      <c r="S10" s="2"/>
      <c r="T10" s="2"/>
      <c r="U10" s="2"/>
      <c r="V10" s="2"/>
      <c r="W10" s="2"/>
      <c r="X10" s="2"/>
      <c r="Y10" s="2"/>
      <c r="Z10" s="2"/>
    </row>
    <row r="11" ht="30.0" customHeight="1">
      <c r="A11" s="5" t="s">
        <v>218</v>
      </c>
      <c r="B11" s="5" t="s">
        <v>219</v>
      </c>
      <c r="C11" s="5" t="s">
        <v>220</v>
      </c>
      <c r="D11" s="17" t="s">
        <v>191</v>
      </c>
      <c r="E11" s="17" t="s">
        <v>31</v>
      </c>
      <c r="F11" s="5"/>
      <c r="G11" s="2"/>
      <c r="H11" s="2"/>
      <c r="I11" s="2"/>
      <c r="J11" s="2"/>
      <c r="K11" s="2"/>
      <c r="L11" s="2"/>
      <c r="M11" s="2"/>
      <c r="N11" s="2"/>
      <c r="O11" s="2"/>
      <c r="P11" s="2"/>
      <c r="Q11" s="2"/>
      <c r="R11" s="2"/>
      <c r="S11" s="2"/>
      <c r="T11" s="2"/>
      <c r="U11" s="2"/>
      <c r="V11" s="2"/>
      <c r="W11" s="2"/>
      <c r="X11" s="2"/>
      <c r="Y11" s="2"/>
      <c r="Z11" s="2"/>
    </row>
    <row r="12" ht="30.0" customHeight="1">
      <c r="A12" s="5" t="s">
        <v>221</v>
      </c>
      <c r="B12" s="5" t="s">
        <v>222</v>
      </c>
      <c r="C12" s="5" t="s">
        <v>223</v>
      </c>
      <c r="D12" s="17" t="s">
        <v>206</v>
      </c>
      <c r="E12" s="17" t="s">
        <v>192</v>
      </c>
      <c r="F12" s="5"/>
      <c r="G12" s="2"/>
      <c r="H12" s="2"/>
      <c r="I12" s="2"/>
      <c r="J12" s="2"/>
      <c r="K12" s="2"/>
      <c r="L12" s="2"/>
      <c r="M12" s="2"/>
      <c r="N12" s="2"/>
      <c r="O12" s="2"/>
      <c r="P12" s="2"/>
      <c r="Q12" s="2"/>
      <c r="R12" s="2"/>
      <c r="S12" s="2"/>
      <c r="T12" s="2"/>
      <c r="U12" s="2"/>
      <c r="V12" s="2"/>
      <c r="W12" s="2"/>
      <c r="X12" s="2"/>
      <c r="Y12" s="2"/>
      <c r="Z12" s="2"/>
    </row>
    <row r="13" ht="30.0" customHeight="1">
      <c r="A13" s="5" t="s">
        <v>224</v>
      </c>
      <c r="B13" s="5" t="s">
        <v>225</v>
      </c>
      <c r="C13" s="5" t="s">
        <v>226</v>
      </c>
      <c r="D13" s="17" t="s">
        <v>206</v>
      </c>
      <c r="E13" s="17" t="s">
        <v>31</v>
      </c>
      <c r="F13" s="5"/>
      <c r="G13" s="2"/>
      <c r="H13" s="2"/>
      <c r="I13" s="2"/>
      <c r="J13" s="2"/>
      <c r="K13" s="2"/>
      <c r="L13" s="2"/>
      <c r="M13" s="2"/>
      <c r="N13" s="2"/>
      <c r="O13" s="2"/>
      <c r="P13" s="2"/>
      <c r="Q13" s="2"/>
      <c r="R13" s="2"/>
      <c r="S13" s="2"/>
      <c r="T13" s="2"/>
      <c r="U13" s="2"/>
      <c r="V13" s="2"/>
      <c r="W13" s="2"/>
      <c r="X13" s="2"/>
      <c r="Y13" s="2"/>
      <c r="Z13" s="2"/>
    </row>
    <row r="14" ht="30.0" customHeight="1">
      <c r="A14" s="5" t="s">
        <v>227</v>
      </c>
      <c r="B14" s="5" t="s">
        <v>228</v>
      </c>
      <c r="C14" s="5" t="s">
        <v>229</v>
      </c>
      <c r="D14" s="17" t="s">
        <v>191</v>
      </c>
      <c r="E14" s="17" t="s">
        <v>31</v>
      </c>
      <c r="F14" s="5"/>
      <c r="G14" s="2"/>
      <c r="H14" s="2"/>
      <c r="I14" s="2"/>
      <c r="J14" s="2"/>
      <c r="K14" s="2"/>
      <c r="L14" s="2"/>
      <c r="M14" s="2"/>
      <c r="N14" s="2"/>
      <c r="O14" s="2"/>
      <c r="P14" s="2"/>
      <c r="Q14" s="2"/>
      <c r="R14" s="2"/>
      <c r="S14" s="2"/>
      <c r="T14" s="2"/>
      <c r="U14" s="2"/>
      <c r="V14" s="2"/>
      <c r="W14" s="2"/>
      <c r="X14" s="2"/>
      <c r="Y14" s="2"/>
      <c r="Z14" s="2"/>
    </row>
    <row r="15" ht="30.0" customHeight="1">
      <c r="A15" s="5" t="s">
        <v>230</v>
      </c>
      <c r="B15" s="5" t="s">
        <v>231</v>
      </c>
      <c r="C15" s="5" t="s">
        <v>232</v>
      </c>
      <c r="D15" s="17" t="s">
        <v>191</v>
      </c>
      <c r="E15" s="17" t="s">
        <v>31</v>
      </c>
      <c r="F15" s="5"/>
      <c r="G15" s="2"/>
      <c r="H15" s="2"/>
      <c r="I15" s="2"/>
      <c r="J15" s="2"/>
      <c r="K15" s="2"/>
      <c r="L15" s="2"/>
      <c r="M15" s="2"/>
      <c r="N15" s="2"/>
      <c r="O15" s="2"/>
      <c r="P15" s="2"/>
      <c r="Q15" s="2"/>
      <c r="R15" s="2"/>
      <c r="S15" s="2"/>
      <c r="T15" s="2"/>
      <c r="U15" s="2"/>
      <c r="V15" s="2"/>
      <c r="W15" s="2"/>
      <c r="X15" s="2"/>
      <c r="Y15" s="2"/>
      <c r="Z15" s="2"/>
    </row>
    <row r="16" ht="30.0" customHeight="1">
      <c r="A16" s="5" t="s">
        <v>233</v>
      </c>
      <c r="B16" s="5" t="s">
        <v>234</v>
      </c>
      <c r="C16" s="5" t="s">
        <v>235</v>
      </c>
      <c r="D16" s="17" t="s">
        <v>206</v>
      </c>
      <c r="E16" s="17" t="s">
        <v>192</v>
      </c>
      <c r="F16" s="5"/>
      <c r="G16" s="2"/>
      <c r="H16" s="2"/>
      <c r="I16" s="2"/>
      <c r="J16" s="2"/>
      <c r="K16" s="2"/>
      <c r="L16" s="2"/>
      <c r="M16" s="2"/>
      <c r="N16" s="2"/>
      <c r="O16" s="2"/>
      <c r="P16" s="2"/>
      <c r="Q16" s="2"/>
      <c r="R16" s="2"/>
      <c r="S16" s="2"/>
      <c r="T16" s="2"/>
      <c r="U16" s="2"/>
      <c r="V16" s="2"/>
      <c r="W16" s="2"/>
      <c r="X16" s="2"/>
      <c r="Y16" s="2"/>
      <c r="Z16" s="2"/>
    </row>
    <row r="17" ht="30.0" customHeight="1">
      <c r="A17" s="5" t="s">
        <v>236</v>
      </c>
      <c r="B17" s="5" t="s">
        <v>237</v>
      </c>
      <c r="C17" s="5" t="s">
        <v>238</v>
      </c>
      <c r="D17" s="17" t="s">
        <v>206</v>
      </c>
      <c r="E17" s="17" t="s">
        <v>192</v>
      </c>
      <c r="F17" s="5"/>
      <c r="G17" s="2"/>
      <c r="H17" s="2"/>
      <c r="I17" s="2"/>
      <c r="J17" s="2"/>
      <c r="K17" s="2"/>
      <c r="L17" s="2"/>
      <c r="M17" s="2"/>
      <c r="N17" s="2"/>
      <c r="O17" s="2"/>
      <c r="P17" s="2"/>
      <c r="Q17" s="2"/>
      <c r="R17" s="2"/>
      <c r="S17" s="2"/>
      <c r="T17" s="2"/>
      <c r="U17" s="2"/>
      <c r="V17" s="2"/>
      <c r="W17" s="2"/>
      <c r="X17" s="2"/>
      <c r="Y17" s="2"/>
      <c r="Z17" s="2"/>
    </row>
    <row r="18" ht="30.0" customHeight="1">
      <c r="A18" s="5" t="s">
        <v>239</v>
      </c>
      <c r="B18" s="5" t="s">
        <v>240</v>
      </c>
      <c r="C18" s="5" t="s">
        <v>241</v>
      </c>
      <c r="D18" s="17" t="s">
        <v>206</v>
      </c>
      <c r="E18" s="17" t="s">
        <v>192</v>
      </c>
      <c r="F18" s="5"/>
      <c r="G18" s="2"/>
      <c r="H18" s="2"/>
      <c r="I18" s="2"/>
      <c r="J18" s="2"/>
      <c r="K18" s="2"/>
      <c r="L18" s="2"/>
      <c r="M18" s="2"/>
      <c r="N18" s="2"/>
      <c r="O18" s="2"/>
      <c r="P18" s="2"/>
      <c r="Q18" s="2"/>
      <c r="R18" s="2"/>
      <c r="S18" s="2"/>
      <c r="T18" s="2"/>
      <c r="U18" s="2"/>
      <c r="V18" s="2"/>
      <c r="W18" s="2"/>
      <c r="X18" s="2"/>
      <c r="Y18" s="2"/>
      <c r="Z18" s="2"/>
    </row>
    <row r="19" ht="30.0" customHeight="1">
      <c r="A19" s="5" t="s">
        <v>242</v>
      </c>
      <c r="B19" s="5" t="s">
        <v>243</v>
      </c>
      <c r="C19" s="5" t="s">
        <v>244</v>
      </c>
      <c r="D19" s="17" t="s">
        <v>206</v>
      </c>
      <c r="E19" s="17" t="s">
        <v>192</v>
      </c>
      <c r="F19" s="5"/>
      <c r="G19" s="2"/>
      <c r="H19" s="2"/>
      <c r="I19" s="2"/>
      <c r="J19" s="2"/>
      <c r="K19" s="2"/>
      <c r="L19" s="2"/>
      <c r="M19" s="2"/>
      <c r="N19" s="2"/>
      <c r="O19" s="2"/>
      <c r="P19" s="2"/>
      <c r="Q19" s="2"/>
      <c r="R19" s="2"/>
      <c r="S19" s="2"/>
      <c r="T19" s="2"/>
      <c r="U19" s="2"/>
      <c r="V19" s="2"/>
      <c r="W19" s="2"/>
      <c r="X19" s="2"/>
      <c r="Y19" s="2"/>
      <c r="Z19" s="2"/>
    </row>
    <row r="20" ht="30.0" customHeight="1">
      <c r="A20" s="5" t="s">
        <v>245</v>
      </c>
      <c r="B20" s="5" t="s">
        <v>246</v>
      </c>
      <c r="C20" s="5" t="s">
        <v>247</v>
      </c>
      <c r="D20" s="17" t="s">
        <v>206</v>
      </c>
      <c r="E20" s="17" t="s">
        <v>192</v>
      </c>
      <c r="F20" s="5"/>
      <c r="G20" s="2"/>
      <c r="H20" s="2"/>
      <c r="I20" s="2"/>
      <c r="J20" s="2"/>
      <c r="K20" s="2"/>
      <c r="L20" s="2"/>
      <c r="M20" s="2"/>
      <c r="N20" s="2"/>
      <c r="O20" s="2"/>
      <c r="P20" s="2"/>
      <c r="Q20" s="2"/>
      <c r="R20" s="2"/>
      <c r="S20" s="2"/>
      <c r="T20" s="2"/>
      <c r="U20" s="2"/>
      <c r="V20" s="2"/>
      <c r="W20" s="2"/>
      <c r="X20" s="2"/>
      <c r="Y20" s="2"/>
      <c r="Z20" s="2"/>
    </row>
    <row r="21" ht="30.0" customHeight="1">
      <c r="A21" s="5" t="s">
        <v>248</v>
      </c>
      <c r="B21" s="5" t="s">
        <v>249</v>
      </c>
      <c r="C21" s="5" t="s">
        <v>250</v>
      </c>
      <c r="D21" s="17" t="s">
        <v>206</v>
      </c>
      <c r="E21" s="17" t="s">
        <v>213</v>
      </c>
      <c r="F21" s="5"/>
      <c r="G21" s="2"/>
      <c r="H21" s="2"/>
      <c r="I21" s="2"/>
      <c r="J21" s="2"/>
      <c r="K21" s="2"/>
      <c r="L21" s="2"/>
      <c r="M21" s="2"/>
      <c r="N21" s="2"/>
      <c r="O21" s="2"/>
      <c r="P21" s="2"/>
      <c r="Q21" s="2"/>
      <c r="R21" s="2"/>
      <c r="S21" s="2"/>
      <c r="T21" s="2"/>
      <c r="U21" s="2"/>
      <c r="V21" s="2"/>
      <c r="W21" s="2"/>
      <c r="X21" s="2"/>
      <c r="Y21" s="2"/>
      <c r="Z21" s="2"/>
    </row>
    <row r="22" ht="30.0" customHeight="1">
      <c r="A22" s="5" t="s">
        <v>251</v>
      </c>
      <c r="B22" s="5" t="s">
        <v>252</v>
      </c>
      <c r="C22" s="5" t="s">
        <v>253</v>
      </c>
      <c r="D22" s="17" t="s">
        <v>206</v>
      </c>
      <c r="E22" s="17" t="s">
        <v>31</v>
      </c>
      <c r="F22" s="5"/>
      <c r="G22" s="2"/>
      <c r="H22" s="2"/>
      <c r="I22" s="2"/>
      <c r="J22" s="2"/>
      <c r="K22" s="2"/>
      <c r="L22" s="2"/>
      <c r="M22" s="2"/>
      <c r="N22" s="2"/>
      <c r="O22" s="2"/>
      <c r="P22" s="2"/>
      <c r="Q22" s="2"/>
      <c r="R22" s="2"/>
      <c r="S22" s="2"/>
      <c r="T22" s="2"/>
      <c r="U22" s="2"/>
      <c r="V22" s="2"/>
      <c r="W22" s="2"/>
      <c r="X22" s="2"/>
      <c r="Y22" s="2"/>
      <c r="Z22" s="2"/>
    </row>
    <row r="23" ht="15.75" customHeight="1">
      <c r="A23" s="14" t="s">
        <v>254</v>
      </c>
      <c r="B23" s="15"/>
      <c r="C23" s="15"/>
      <c r="D23" s="15"/>
      <c r="E23" s="15"/>
      <c r="F23" s="16"/>
      <c r="G23" s="2"/>
      <c r="H23" s="2"/>
      <c r="I23" s="2"/>
      <c r="J23" s="2"/>
      <c r="K23" s="2"/>
      <c r="L23" s="2"/>
      <c r="M23" s="2"/>
      <c r="N23" s="2"/>
      <c r="O23" s="2"/>
      <c r="P23" s="2"/>
      <c r="Q23" s="2"/>
      <c r="R23" s="2"/>
      <c r="S23" s="2"/>
      <c r="T23" s="2"/>
      <c r="U23" s="2"/>
      <c r="V23" s="2"/>
      <c r="W23" s="2"/>
      <c r="X23" s="2"/>
      <c r="Y23" s="2"/>
      <c r="Z23" s="2"/>
    </row>
    <row r="24" ht="30.0" customHeight="1">
      <c r="A24" s="5" t="s">
        <v>255</v>
      </c>
      <c r="B24" s="5" t="s">
        <v>256</v>
      </c>
      <c r="C24" s="5" t="s">
        <v>257</v>
      </c>
      <c r="D24" s="17" t="s">
        <v>191</v>
      </c>
      <c r="E24" s="17" t="s">
        <v>213</v>
      </c>
      <c r="F24" s="5"/>
      <c r="G24" s="2"/>
      <c r="H24" s="2"/>
      <c r="I24" s="2"/>
      <c r="J24" s="2"/>
      <c r="K24" s="2"/>
      <c r="L24" s="2"/>
      <c r="M24" s="2"/>
      <c r="N24" s="2"/>
      <c r="O24" s="2"/>
      <c r="P24" s="2"/>
      <c r="Q24" s="2"/>
      <c r="R24" s="2"/>
      <c r="S24" s="2"/>
      <c r="T24" s="2"/>
      <c r="U24" s="2"/>
      <c r="V24" s="2"/>
      <c r="W24" s="2"/>
      <c r="X24" s="2"/>
      <c r="Y24" s="2"/>
      <c r="Z24" s="2"/>
    </row>
    <row r="25" ht="30.0" customHeight="1">
      <c r="A25" s="5" t="s">
        <v>258</v>
      </c>
      <c r="B25" s="5" t="s">
        <v>259</v>
      </c>
      <c r="C25" s="5" t="s">
        <v>260</v>
      </c>
      <c r="D25" s="17" t="s">
        <v>191</v>
      </c>
      <c r="E25" s="17" t="s">
        <v>192</v>
      </c>
      <c r="F25" s="5"/>
      <c r="G25" s="2"/>
      <c r="H25" s="2"/>
      <c r="I25" s="2"/>
      <c r="J25" s="2"/>
      <c r="K25" s="2"/>
      <c r="L25" s="2"/>
      <c r="M25" s="2"/>
      <c r="N25" s="2"/>
      <c r="O25" s="2"/>
      <c r="P25" s="2"/>
      <c r="Q25" s="2"/>
      <c r="R25" s="2"/>
      <c r="S25" s="2"/>
      <c r="T25" s="2"/>
      <c r="U25" s="2"/>
      <c r="V25" s="2"/>
      <c r="W25" s="2"/>
      <c r="X25" s="2"/>
      <c r="Y25" s="2"/>
      <c r="Z25" s="2"/>
    </row>
    <row r="26" ht="30.0" customHeight="1">
      <c r="A26" s="5" t="s">
        <v>261</v>
      </c>
      <c r="B26" s="5" t="s">
        <v>262</v>
      </c>
      <c r="C26" s="5" t="s">
        <v>263</v>
      </c>
      <c r="D26" s="17" t="s">
        <v>191</v>
      </c>
      <c r="E26" s="17" t="s">
        <v>31</v>
      </c>
      <c r="F26" s="5"/>
      <c r="G26" s="2"/>
      <c r="H26" s="2"/>
      <c r="I26" s="2"/>
      <c r="J26" s="2"/>
      <c r="K26" s="2"/>
      <c r="L26" s="2"/>
      <c r="M26" s="2"/>
      <c r="N26" s="2"/>
      <c r="O26" s="2"/>
      <c r="P26" s="2"/>
      <c r="Q26" s="2"/>
      <c r="R26" s="2"/>
      <c r="S26" s="2"/>
      <c r="T26" s="2"/>
      <c r="U26" s="2"/>
      <c r="V26" s="2"/>
      <c r="W26" s="2"/>
      <c r="X26" s="2"/>
      <c r="Y26" s="2"/>
      <c r="Z26" s="2"/>
    </row>
    <row r="27" ht="30.0" customHeight="1">
      <c r="A27" s="5" t="s">
        <v>264</v>
      </c>
      <c r="B27" s="5" t="s">
        <v>265</v>
      </c>
      <c r="C27" s="5" t="s">
        <v>266</v>
      </c>
      <c r="D27" s="17" t="s">
        <v>191</v>
      </c>
      <c r="E27" s="17" t="s">
        <v>31</v>
      </c>
      <c r="F27" s="5"/>
      <c r="G27" s="2"/>
      <c r="H27" s="2"/>
      <c r="I27" s="2"/>
      <c r="J27" s="2"/>
      <c r="K27" s="2"/>
      <c r="L27" s="2"/>
      <c r="M27" s="2"/>
      <c r="N27" s="2"/>
      <c r="O27" s="2"/>
      <c r="P27" s="2"/>
      <c r="Q27" s="2"/>
      <c r="R27" s="2"/>
      <c r="S27" s="2"/>
      <c r="T27" s="2"/>
      <c r="U27" s="2"/>
      <c r="V27" s="2"/>
      <c r="W27" s="2"/>
      <c r="X27" s="2"/>
      <c r="Y27" s="2"/>
      <c r="Z27" s="2"/>
    </row>
    <row r="28" ht="30.0" customHeight="1">
      <c r="A28" s="5" t="s">
        <v>267</v>
      </c>
      <c r="B28" s="5" t="s">
        <v>268</v>
      </c>
      <c r="C28" s="5" t="s">
        <v>269</v>
      </c>
      <c r="D28" s="17" t="s">
        <v>191</v>
      </c>
      <c r="E28" s="17" t="s">
        <v>31</v>
      </c>
      <c r="F28" s="5"/>
      <c r="G28" s="2"/>
      <c r="H28" s="2"/>
      <c r="I28" s="2"/>
      <c r="J28" s="2"/>
      <c r="K28" s="2"/>
      <c r="L28" s="2"/>
      <c r="M28" s="2"/>
      <c r="N28" s="2"/>
      <c r="O28" s="2"/>
      <c r="P28" s="2"/>
      <c r="Q28" s="2"/>
      <c r="R28" s="2"/>
      <c r="S28" s="2"/>
      <c r="T28" s="2"/>
      <c r="U28" s="2"/>
      <c r="V28" s="2"/>
      <c r="W28" s="2"/>
      <c r="X28" s="2"/>
      <c r="Y28" s="2"/>
      <c r="Z28" s="2"/>
    </row>
    <row r="29" ht="30.0" customHeight="1">
      <c r="A29" s="5" t="s">
        <v>270</v>
      </c>
      <c r="B29" s="5" t="s">
        <v>271</v>
      </c>
      <c r="C29" s="5" t="s">
        <v>272</v>
      </c>
      <c r="D29" s="17" t="s">
        <v>191</v>
      </c>
      <c r="E29" s="17" t="s">
        <v>31</v>
      </c>
      <c r="F29" s="5"/>
      <c r="G29" s="2"/>
      <c r="H29" s="2"/>
      <c r="I29" s="2"/>
      <c r="J29" s="2"/>
      <c r="K29" s="2"/>
      <c r="L29" s="2"/>
      <c r="M29" s="2"/>
      <c r="N29" s="2"/>
      <c r="O29" s="2"/>
      <c r="P29" s="2"/>
      <c r="Q29" s="2"/>
      <c r="R29" s="2"/>
      <c r="S29" s="2"/>
      <c r="T29" s="2"/>
      <c r="U29" s="2"/>
      <c r="V29" s="2"/>
      <c r="W29" s="2"/>
      <c r="X29" s="2"/>
      <c r="Y29" s="2"/>
      <c r="Z29" s="2"/>
    </row>
    <row r="30" ht="30.0" customHeight="1">
      <c r="A30" s="5" t="s">
        <v>273</v>
      </c>
      <c r="B30" s="5" t="s">
        <v>274</v>
      </c>
      <c r="C30" s="5" t="s">
        <v>275</v>
      </c>
      <c r="D30" s="17" t="s">
        <v>191</v>
      </c>
      <c r="E30" s="17" t="s">
        <v>213</v>
      </c>
      <c r="F30" s="5" t="s">
        <v>276</v>
      </c>
      <c r="G30" s="2"/>
      <c r="H30" s="2"/>
      <c r="I30" s="2"/>
      <c r="J30" s="2"/>
      <c r="K30" s="2"/>
      <c r="L30" s="2"/>
      <c r="M30" s="2"/>
      <c r="N30" s="2"/>
      <c r="O30" s="2"/>
      <c r="P30" s="2"/>
      <c r="Q30" s="2"/>
      <c r="R30" s="2"/>
      <c r="S30" s="2"/>
      <c r="T30" s="2"/>
      <c r="U30" s="2"/>
      <c r="V30" s="2"/>
      <c r="W30" s="2"/>
      <c r="X30" s="2"/>
      <c r="Y30" s="2"/>
      <c r="Z30" s="2"/>
    </row>
    <row r="31" ht="30.0" customHeight="1">
      <c r="A31" s="5" t="s">
        <v>277</v>
      </c>
      <c r="B31" s="5" t="s">
        <v>278</v>
      </c>
      <c r="C31" s="5" t="s">
        <v>279</v>
      </c>
      <c r="D31" s="17" t="s">
        <v>191</v>
      </c>
      <c r="E31" s="17" t="s">
        <v>192</v>
      </c>
      <c r="F31" s="5"/>
      <c r="G31" s="2"/>
      <c r="H31" s="2"/>
      <c r="I31" s="2"/>
      <c r="J31" s="2"/>
      <c r="K31" s="2"/>
      <c r="L31" s="2"/>
      <c r="M31" s="2"/>
      <c r="N31" s="2"/>
      <c r="O31" s="2"/>
      <c r="P31" s="2"/>
      <c r="Q31" s="2"/>
      <c r="R31" s="2"/>
      <c r="S31" s="2"/>
      <c r="T31" s="2"/>
      <c r="U31" s="2"/>
      <c r="V31" s="2"/>
      <c r="W31" s="2"/>
      <c r="X31" s="2"/>
      <c r="Y31" s="2"/>
      <c r="Z31" s="2"/>
    </row>
    <row r="32" ht="30.0" customHeight="1">
      <c r="A32" s="5" t="s">
        <v>280</v>
      </c>
      <c r="B32" s="5" t="s">
        <v>281</v>
      </c>
      <c r="C32" s="5" t="s">
        <v>282</v>
      </c>
      <c r="D32" s="17" t="s">
        <v>191</v>
      </c>
      <c r="E32" s="17" t="s">
        <v>213</v>
      </c>
      <c r="F32" s="5" t="s">
        <v>283</v>
      </c>
      <c r="G32" s="2"/>
      <c r="H32" s="2"/>
      <c r="I32" s="2"/>
      <c r="J32" s="2"/>
      <c r="K32" s="2"/>
      <c r="L32" s="2"/>
      <c r="M32" s="2"/>
      <c r="N32" s="2"/>
      <c r="O32" s="2"/>
      <c r="P32" s="2"/>
      <c r="Q32" s="2"/>
      <c r="R32" s="2"/>
      <c r="S32" s="2"/>
      <c r="T32" s="2"/>
      <c r="U32" s="2"/>
      <c r="V32" s="2"/>
      <c r="W32" s="2"/>
      <c r="X32" s="2"/>
      <c r="Y32" s="2"/>
      <c r="Z32" s="2"/>
    </row>
    <row r="33" ht="30.0" customHeight="1">
      <c r="A33" s="5" t="s">
        <v>284</v>
      </c>
      <c r="B33" s="5" t="s">
        <v>285</v>
      </c>
      <c r="C33" s="5" t="s">
        <v>286</v>
      </c>
      <c r="D33" s="17" t="s">
        <v>191</v>
      </c>
      <c r="E33" s="17" t="s">
        <v>213</v>
      </c>
      <c r="F33" s="5"/>
      <c r="G33" s="2"/>
      <c r="H33" s="2"/>
      <c r="I33" s="2"/>
      <c r="J33" s="2"/>
      <c r="K33" s="2"/>
      <c r="L33" s="2"/>
      <c r="M33" s="2"/>
      <c r="N33" s="2"/>
      <c r="O33" s="2"/>
      <c r="P33" s="2"/>
      <c r="Q33" s="2"/>
      <c r="R33" s="2"/>
      <c r="S33" s="2"/>
      <c r="T33" s="2"/>
      <c r="U33" s="2"/>
      <c r="V33" s="2"/>
      <c r="W33" s="2"/>
      <c r="X33" s="2"/>
      <c r="Y33" s="2"/>
      <c r="Z33" s="2"/>
    </row>
    <row r="34" ht="30.0" customHeight="1">
      <c r="A34" s="5" t="s">
        <v>287</v>
      </c>
      <c r="B34" s="5" t="s">
        <v>288</v>
      </c>
      <c r="C34" s="5" t="s">
        <v>289</v>
      </c>
      <c r="D34" s="17" t="s">
        <v>206</v>
      </c>
      <c r="E34" s="17" t="s">
        <v>192</v>
      </c>
      <c r="F34" s="5"/>
      <c r="G34" s="2"/>
      <c r="H34" s="2"/>
      <c r="I34" s="2"/>
      <c r="J34" s="2"/>
      <c r="K34" s="2"/>
      <c r="L34" s="2"/>
      <c r="M34" s="2"/>
      <c r="N34" s="2"/>
      <c r="O34" s="2"/>
      <c r="P34" s="2"/>
      <c r="Q34" s="2"/>
      <c r="R34" s="2"/>
      <c r="S34" s="2"/>
      <c r="T34" s="2"/>
      <c r="U34" s="2"/>
      <c r="V34" s="2"/>
      <c r="W34" s="2"/>
      <c r="X34" s="2"/>
      <c r="Y34" s="2"/>
      <c r="Z34" s="2"/>
    </row>
    <row r="35" ht="30.0" customHeight="1">
      <c r="A35" s="5" t="s">
        <v>290</v>
      </c>
      <c r="B35" s="5" t="s">
        <v>291</v>
      </c>
      <c r="C35" s="5" t="s">
        <v>292</v>
      </c>
      <c r="D35" s="17" t="s">
        <v>206</v>
      </c>
      <c r="E35" s="17" t="s">
        <v>192</v>
      </c>
      <c r="F35" s="5"/>
      <c r="G35" s="2"/>
      <c r="H35" s="2"/>
      <c r="I35" s="2"/>
      <c r="J35" s="2"/>
      <c r="K35" s="2"/>
      <c r="L35" s="2"/>
      <c r="M35" s="2"/>
      <c r="N35" s="2"/>
      <c r="O35" s="2"/>
      <c r="P35" s="2"/>
      <c r="Q35" s="2"/>
      <c r="R35" s="2"/>
      <c r="S35" s="2"/>
      <c r="T35" s="2"/>
      <c r="U35" s="2"/>
      <c r="V35" s="2"/>
      <c r="W35" s="2"/>
      <c r="X35" s="2"/>
      <c r="Y35" s="2"/>
      <c r="Z35" s="2"/>
    </row>
    <row r="36" ht="30.0" customHeight="1">
      <c r="A36" s="5" t="s">
        <v>293</v>
      </c>
      <c r="B36" s="5" t="s">
        <v>294</v>
      </c>
      <c r="C36" s="5" t="s">
        <v>295</v>
      </c>
      <c r="D36" s="17" t="s">
        <v>206</v>
      </c>
      <c r="E36" s="17" t="s">
        <v>213</v>
      </c>
      <c r="F36" s="5"/>
      <c r="G36" s="2"/>
      <c r="H36" s="2"/>
      <c r="I36" s="2"/>
      <c r="J36" s="2"/>
      <c r="K36" s="2"/>
      <c r="L36" s="2"/>
      <c r="M36" s="2"/>
      <c r="N36" s="2"/>
      <c r="O36" s="2"/>
      <c r="P36" s="2"/>
      <c r="Q36" s="2"/>
      <c r="R36" s="2"/>
      <c r="S36" s="2"/>
      <c r="T36" s="2"/>
      <c r="U36" s="2"/>
      <c r="V36" s="2"/>
      <c r="W36" s="2"/>
      <c r="X36" s="2"/>
      <c r="Y36" s="2"/>
      <c r="Z36" s="2"/>
    </row>
    <row r="37" ht="30.0" customHeight="1">
      <c r="A37" s="5" t="s">
        <v>296</v>
      </c>
      <c r="B37" s="5" t="s">
        <v>297</v>
      </c>
      <c r="C37" s="5" t="s">
        <v>298</v>
      </c>
      <c r="D37" s="17" t="s">
        <v>206</v>
      </c>
      <c r="E37" s="17" t="s">
        <v>192</v>
      </c>
      <c r="F37" s="5"/>
      <c r="G37" s="2"/>
      <c r="H37" s="2"/>
      <c r="I37" s="2"/>
      <c r="J37" s="2"/>
      <c r="K37" s="2"/>
      <c r="L37" s="2"/>
      <c r="M37" s="2"/>
      <c r="N37" s="2"/>
      <c r="O37" s="2"/>
      <c r="P37" s="2"/>
      <c r="Q37" s="2"/>
      <c r="R37" s="2"/>
      <c r="S37" s="2"/>
      <c r="T37" s="2"/>
      <c r="U37" s="2"/>
      <c r="V37" s="2"/>
      <c r="W37" s="2"/>
      <c r="X37" s="2"/>
      <c r="Y37" s="2"/>
      <c r="Z37" s="2"/>
    </row>
    <row r="38" ht="30.0" customHeight="1">
      <c r="A38" s="5" t="s">
        <v>299</v>
      </c>
      <c r="B38" s="5" t="s">
        <v>300</v>
      </c>
      <c r="C38" s="5" t="s">
        <v>301</v>
      </c>
      <c r="D38" s="17" t="s">
        <v>191</v>
      </c>
      <c r="E38" s="17" t="s">
        <v>31</v>
      </c>
      <c r="F38" s="5"/>
      <c r="G38" s="2"/>
      <c r="H38" s="2"/>
      <c r="I38" s="2"/>
      <c r="J38" s="2"/>
      <c r="K38" s="2"/>
      <c r="L38" s="2"/>
      <c r="M38" s="2"/>
      <c r="N38" s="2"/>
      <c r="O38" s="2"/>
      <c r="P38" s="2"/>
      <c r="Q38" s="2"/>
      <c r="R38" s="2"/>
      <c r="S38" s="2"/>
      <c r="T38" s="2"/>
      <c r="U38" s="2"/>
      <c r="V38" s="2"/>
      <c r="W38" s="2"/>
      <c r="X38" s="2"/>
      <c r="Y38" s="2"/>
      <c r="Z38" s="2"/>
    </row>
    <row r="39" ht="30.0" customHeight="1">
      <c r="A39" s="5" t="s">
        <v>302</v>
      </c>
      <c r="B39" s="5" t="s">
        <v>303</v>
      </c>
      <c r="C39" s="5" t="s">
        <v>304</v>
      </c>
      <c r="D39" s="17" t="s">
        <v>191</v>
      </c>
      <c r="E39" s="17" t="s">
        <v>192</v>
      </c>
      <c r="F39" s="5"/>
      <c r="G39" s="2"/>
      <c r="H39" s="2"/>
      <c r="I39" s="2"/>
      <c r="J39" s="2"/>
      <c r="K39" s="2"/>
      <c r="L39" s="2"/>
      <c r="M39" s="2"/>
      <c r="N39" s="2"/>
      <c r="O39" s="2"/>
      <c r="P39" s="2"/>
      <c r="Q39" s="2"/>
      <c r="R39" s="2"/>
      <c r="S39" s="2"/>
      <c r="T39" s="2"/>
      <c r="U39" s="2"/>
      <c r="V39" s="2"/>
      <c r="W39" s="2"/>
      <c r="X39" s="2"/>
      <c r="Y39" s="2"/>
      <c r="Z39" s="2"/>
    </row>
    <row r="40" ht="30.0" customHeight="1">
      <c r="A40" s="5" t="s">
        <v>305</v>
      </c>
      <c r="B40" s="5" t="s">
        <v>306</v>
      </c>
      <c r="C40" s="5" t="s">
        <v>307</v>
      </c>
      <c r="D40" s="17" t="s">
        <v>191</v>
      </c>
      <c r="E40" s="17" t="s">
        <v>192</v>
      </c>
      <c r="F40" s="5"/>
      <c r="G40" s="2"/>
      <c r="H40" s="2"/>
      <c r="I40" s="2"/>
      <c r="J40" s="2"/>
      <c r="K40" s="2"/>
      <c r="L40" s="2"/>
      <c r="M40" s="2"/>
      <c r="N40" s="2"/>
      <c r="O40" s="2"/>
      <c r="P40" s="2"/>
      <c r="Q40" s="2"/>
      <c r="R40" s="2"/>
      <c r="S40" s="2"/>
      <c r="T40" s="2"/>
      <c r="U40" s="2"/>
      <c r="V40" s="2"/>
      <c r="W40" s="2"/>
      <c r="X40" s="2"/>
      <c r="Y40" s="2"/>
      <c r="Z40" s="2"/>
    </row>
    <row r="41" ht="30.0" customHeight="1">
      <c r="A41" s="5" t="s">
        <v>308</v>
      </c>
      <c r="B41" s="5" t="s">
        <v>309</v>
      </c>
      <c r="C41" s="5" t="s">
        <v>310</v>
      </c>
      <c r="D41" s="17" t="s">
        <v>191</v>
      </c>
      <c r="E41" s="17" t="s">
        <v>31</v>
      </c>
      <c r="F41" s="5"/>
      <c r="G41" s="2"/>
      <c r="H41" s="2"/>
      <c r="I41" s="2"/>
      <c r="J41" s="2"/>
      <c r="K41" s="2"/>
      <c r="L41" s="2"/>
      <c r="M41" s="2"/>
      <c r="N41" s="2"/>
      <c r="O41" s="2"/>
      <c r="P41" s="2"/>
      <c r="Q41" s="2"/>
      <c r="R41" s="2"/>
      <c r="S41" s="2"/>
      <c r="T41" s="2"/>
      <c r="U41" s="2"/>
      <c r="V41" s="2"/>
      <c r="W41" s="2"/>
      <c r="X41" s="2"/>
      <c r="Y41" s="2"/>
      <c r="Z41" s="2"/>
    </row>
    <row r="42" ht="30.0" customHeight="1">
      <c r="A42" s="5" t="s">
        <v>311</v>
      </c>
      <c r="B42" s="5" t="s">
        <v>312</v>
      </c>
      <c r="C42" s="5" t="s">
        <v>313</v>
      </c>
      <c r="D42" s="17" t="s">
        <v>206</v>
      </c>
      <c r="E42" s="17" t="s">
        <v>31</v>
      </c>
      <c r="F42" s="5"/>
      <c r="G42" s="2"/>
      <c r="H42" s="2"/>
      <c r="I42" s="2"/>
      <c r="J42" s="2"/>
      <c r="K42" s="2"/>
      <c r="L42" s="2"/>
      <c r="M42" s="2"/>
      <c r="N42" s="2"/>
      <c r="O42" s="2"/>
      <c r="P42" s="2"/>
      <c r="Q42" s="2"/>
      <c r="R42" s="2"/>
      <c r="S42" s="2"/>
      <c r="T42" s="2"/>
      <c r="U42" s="2"/>
      <c r="V42" s="2"/>
      <c r="W42" s="2"/>
      <c r="X42" s="2"/>
      <c r="Y42" s="2"/>
      <c r="Z42" s="2"/>
    </row>
    <row r="43" ht="30.0" customHeight="1">
      <c r="A43" s="5" t="s">
        <v>314</v>
      </c>
      <c r="B43" s="5" t="s">
        <v>315</v>
      </c>
      <c r="C43" s="5" t="s">
        <v>316</v>
      </c>
      <c r="D43" s="17" t="s">
        <v>206</v>
      </c>
      <c r="E43" s="17" t="s">
        <v>192</v>
      </c>
      <c r="F43" s="5"/>
      <c r="G43" s="2"/>
      <c r="H43" s="2"/>
      <c r="I43" s="2"/>
      <c r="J43" s="2"/>
      <c r="K43" s="2"/>
      <c r="L43" s="2"/>
      <c r="M43" s="2"/>
      <c r="N43" s="2"/>
      <c r="O43" s="2"/>
      <c r="P43" s="2"/>
      <c r="Q43" s="2"/>
      <c r="R43" s="2"/>
      <c r="S43" s="2"/>
      <c r="T43" s="2"/>
      <c r="U43" s="2"/>
      <c r="V43" s="2"/>
      <c r="W43" s="2"/>
      <c r="X43" s="2"/>
      <c r="Y43" s="2"/>
      <c r="Z43" s="2"/>
    </row>
    <row r="44" ht="15.75" customHeight="1">
      <c r="A44" s="14" t="s">
        <v>317</v>
      </c>
      <c r="B44" s="15"/>
      <c r="C44" s="15"/>
      <c r="D44" s="15"/>
      <c r="E44" s="15"/>
      <c r="F44" s="16"/>
      <c r="G44" s="2"/>
      <c r="H44" s="2"/>
      <c r="I44" s="2"/>
      <c r="J44" s="2"/>
      <c r="K44" s="2"/>
      <c r="L44" s="2"/>
      <c r="M44" s="2"/>
      <c r="N44" s="2"/>
      <c r="O44" s="2"/>
      <c r="P44" s="2"/>
      <c r="Q44" s="2"/>
      <c r="R44" s="2"/>
      <c r="S44" s="2"/>
      <c r="T44" s="2"/>
      <c r="U44" s="2"/>
      <c r="V44" s="2"/>
      <c r="W44" s="2"/>
      <c r="X44" s="2"/>
      <c r="Y44" s="2"/>
      <c r="Z44" s="2"/>
    </row>
    <row r="45" ht="30.0" customHeight="1">
      <c r="A45" s="5" t="s">
        <v>318</v>
      </c>
      <c r="B45" s="5" t="s">
        <v>319</v>
      </c>
      <c r="C45" s="5" t="s">
        <v>320</v>
      </c>
      <c r="D45" s="17" t="s">
        <v>191</v>
      </c>
      <c r="E45" s="17" t="s">
        <v>192</v>
      </c>
      <c r="F45" s="5"/>
      <c r="G45" s="2"/>
      <c r="H45" s="2"/>
      <c r="I45" s="2"/>
      <c r="J45" s="2"/>
      <c r="K45" s="2"/>
      <c r="L45" s="2"/>
      <c r="M45" s="2"/>
      <c r="N45" s="2"/>
      <c r="O45" s="2"/>
      <c r="P45" s="2"/>
      <c r="Q45" s="2"/>
      <c r="R45" s="2"/>
      <c r="S45" s="2"/>
      <c r="T45" s="2"/>
      <c r="U45" s="2"/>
      <c r="V45" s="2"/>
      <c r="W45" s="2"/>
      <c r="X45" s="2"/>
      <c r="Y45" s="2"/>
      <c r="Z45" s="2"/>
    </row>
    <row r="46" ht="30.0" customHeight="1">
      <c r="A46" s="5" t="s">
        <v>321</v>
      </c>
      <c r="B46" s="5" t="s">
        <v>322</v>
      </c>
      <c r="C46" s="5" t="s">
        <v>323</v>
      </c>
      <c r="D46" s="17" t="s">
        <v>206</v>
      </c>
      <c r="E46" s="17" t="s">
        <v>31</v>
      </c>
      <c r="F46" s="5"/>
      <c r="G46" s="2"/>
      <c r="H46" s="2"/>
      <c r="I46" s="2"/>
      <c r="J46" s="2"/>
      <c r="K46" s="2"/>
      <c r="L46" s="2"/>
      <c r="M46" s="2"/>
      <c r="N46" s="2"/>
      <c r="O46" s="2"/>
      <c r="P46" s="2"/>
      <c r="Q46" s="2"/>
      <c r="R46" s="2"/>
      <c r="S46" s="2"/>
      <c r="T46" s="2"/>
      <c r="U46" s="2"/>
      <c r="V46" s="2"/>
      <c r="W46" s="2"/>
      <c r="X46" s="2"/>
      <c r="Y46" s="2"/>
      <c r="Z46" s="2"/>
    </row>
    <row r="47" ht="30.0" customHeight="1">
      <c r="A47" s="5" t="s">
        <v>324</v>
      </c>
      <c r="B47" s="5" t="s">
        <v>325</v>
      </c>
      <c r="C47" s="5" t="s">
        <v>326</v>
      </c>
      <c r="D47" s="17" t="s">
        <v>191</v>
      </c>
      <c r="E47" s="17" t="s">
        <v>192</v>
      </c>
      <c r="F47" s="5"/>
      <c r="G47" s="2"/>
      <c r="H47" s="2"/>
      <c r="I47" s="2"/>
      <c r="J47" s="2"/>
      <c r="K47" s="2"/>
      <c r="L47" s="2"/>
      <c r="M47" s="2"/>
      <c r="N47" s="2"/>
      <c r="O47" s="2"/>
      <c r="P47" s="2"/>
      <c r="Q47" s="2"/>
      <c r="R47" s="2"/>
      <c r="S47" s="2"/>
      <c r="T47" s="2"/>
      <c r="U47" s="2"/>
      <c r="V47" s="2"/>
      <c r="W47" s="2"/>
      <c r="X47" s="2"/>
      <c r="Y47" s="2"/>
      <c r="Z47" s="2"/>
    </row>
    <row r="48" ht="30.0" customHeight="1">
      <c r="A48" s="5" t="s">
        <v>327</v>
      </c>
      <c r="B48" s="5" t="s">
        <v>328</v>
      </c>
      <c r="C48" s="5" t="s">
        <v>329</v>
      </c>
      <c r="D48" s="17" t="s">
        <v>191</v>
      </c>
      <c r="E48" s="17" t="s">
        <v>192</v>
      </c>
      <c r="F48" s="5"/>
      <c r="G48" s="2"/>
      <c r="H48" s="2"/>
      <c r="I48" s="2"/>
      <c r="J48" s="2"/>
      <c r="K48" s="2"/>
      <c r="L48" s="2"/>
      <c r="M48" s="2"/>
      <c r="N48" s="2"/>
      <c r="O48" s="2"/>
      <c r="P48" s="2"/>
      <c r="Q48" s="2"/>
      <c r="R48" s="2"/>
      <c r="S48" s="2"/>
      <c r="T48" s="2"/>
      <c r="U48" s="2"/>
      <c r="V48" s="2"/>
      <c r="W48" s="2"/>
      <c r="X48" s="2"/>
      <c r="Y48" s="2"/>
      <c r="Z48" s="2"/>
    </row>
    <row r="49" ht="30.0" customHeight="1">
      <c r="A49" s="5" t="s">
        <v>330</v>
      </c>
      <c r="B49" s="5" t="s">
        <v>331</v>
      </c>
      <c r="C49" s="5" t="s">
        <v>332</v>
      </c>
      <c r="D49" s="17" t="s">
        <v>206</v>
      </c>
      <c r="E49" s="17" t="s">
        <v>192</v>
      </c>
      <c r="F49" s="5"/>
      <c r="G49" s="2"/>
      <c r="H49" s="2"/>
      <c r="I49" s="2"/>
      <c r="J49" s="2"/>
      <c r="K49" s="2"/>
      <c r="L49" s="2"/>
      <c r="M49" s="2"/>
      <c r="N49" s="2"/>
      <c r="O49" s="2"/>
      <c r="P49" s="2"/>
      <c r="Q49" s="2"/>
      <c r="R49" s="2"/>
      <c r="S49" s="2"/>
      <c r="T49" s="2"/>
      <c r="U49" s="2"/>
      <c r="V49" s="2"/>
      <c r="W49" s="2"/>
      <c r="X49" s="2"/>
      <c r="Y49" s="2"/>
      <c r="Z49" s="2"/>
    </row>
    <row r="50" ht="30.0" customHeight="1">
      <c r="A50" s="5" t="s">
        <v>333</v>
      </c>
      <c r="B50" s="5" t="s">
        <v>334</v>
      </c>
      <c r="C50" s="5" t="s">
        <v>335</v>
      </c>
      <c r="D50" s="17" t="s">
        <v>206</v>
      </c>
      <c r="E50" s="17" t="s">
        <v>192</v>
      </c>
      <c r="F50" s="5"/>
      <c r="G50" s="2"/>
      <c r="H50" s="2"/>
      <c r="I50" s="2"/>
      <c r="J50" s="2"/>
      <c r="K50" s="2"/>
      <c r="L50" s="2"/>
      <c r="M50" s="2"/>
      <c r="N50" s="2"/>
      <c r="O50" s="2"/>
      <c r="P50" s="2"/>
      <c r="Q50" s="2"/>
      <c r="R50" s="2"/>
      <c r="S50" s="2"/>
      <c r="T50" s="2"/>
      <c r="U50" s="2"/>
      <c r="V50" s="2"/>
      <c r="W50" s="2"/>
      <c r="X50" s="2"/>
      <c r="Y50" s="2"/>
      <c r="Z50" s="2"/>
    </row>
    <row r="51" ht="30.0" customHeight="1">
      <c r="A51" s="5" t="s">
        <v>336</v>
      </c>
      <c r="B51" s="5" t="s">
        <v>337</v>
      </c>
      <c r="C51" s="5" t="s">
        <v>338</v>
      </c>
      <c r="D51" s="17" t="s">
        <v>191</v>
      </c>
      <c r="E51" s="17" t="s">
        <v>192</v>
      </c>
      <c r="F51" s="5"/>
      <c r="G51" s="2"/>
      <c r="H51" s="2"/>
      <c r="I51" s="2"/>
      <c r="J51" s="2"/>
      <c r="K51" s="2"/>
      <c r="L51" s="2"/>
      <c r="M51" s="2"/>
      <c r="N51" s="2"/>
      <c r="O51" s="2"/>
      <c r="P51" s="2"/>
      <c r="Q51" s="2"/>
      <c r="R51" s="2"/>
      <c r="S51" s="2"/>
      <c r="T51" s="2"/>
      <c r="U51" s="2"/>
      <c r="V51" s="2"/>
      <c r="W51" s="2"/>
      <c r="X51" s="2"/>
      <c r="Y51" s="2"/>
      <c r="Z51" s="2"/>
    </row>
    <row r="52" ht="30.0" customHeight="1">
      <c r="A52" s="5" t="s">
        <v>339</v>
      </c>
      <c r="B52" s="5" t="s">
        <v>340</v>
      </c>
      <c r="C52" s="5" t="s">
        <v>341</v>
      </c>
      <c r="D52" s="17" t="s">
        <v>191</v>
      </c>
      <c r="E52" s="17" t="s">
        <v>31</v>
      </c>
      <c r="F52" s="5"/>
      <c r="G52" s="2"/>
      <c r="H52" s="2"/>
      <c r="I52" s="2"/>
      <c r="J52" s="2"/>
      <c r="K52" s="2"/>
      <c r="L52" s="2"/>
      <c r="M52" s="2"/>
      <c r="N52" s="2"/>
      <c r="O52" s="2"/>
      <c r="P52" s="2"/>
      <c r="Q52" s="2"/>
      <c r="R52" s="2"/>
      <c r="S52" s="2"/>
      <c r="T52" s="2"/>
      <c r="U52" s="2"/>
      <c r="V52" s="2"/>
      <c r="W52" s="2"/>
      <c r="X52" s="2"/>
      <c r="Y52" s="2"/>
      <c r="Z52" s="2"/>
    </row>
    <row r="53" ht="30.0" customHeight="1">
      <c r="A53" s="5" t="s">
        <v>342</v>
      </c>
      <c r="B53" s="5" t="s">
        <v>343</v>
      </c>
      <c r="C53" s="5" t="s">
        <v>344</v>
      </c>
      <c r="D53" s="17" t="s">
        <v>191</v>
      </c>
      <c r="E53" s="17" t="s">
        <v>213</v>
      </c>
      <c r="F53" s="5"/>
      <c r="G53" s="2"/>
      <c r="H53" s="2"/>
      <c r="I53" s="2"/>
      <c r="J53" s="2"/>
      <c r="K53" s="2"/>
      <c r="L53" s="2"/>
      <c r="M53" s="2"/>
      <c r="N53" s="2"/>
      <c r="O53" s="2"/>
      <c r="P53" s="2"/>
      <c r="Q53" s="2"/>
      <c r="R53" s="2"/>
      <c r="S53" s="2"/>
      <c r="T53" s="2"/>
      <c r="U53" s="2"/>
      <c r="V53" s="2"/>
      <c r="W53" s="2"/>
      <c r="X53" s="2"/>
      <c r="Y53" s="2"/>
      <c r="Z53" s="2"/>
    </row>
    <row r="54" ht="30.0" customHeight="1">
      <c r="A54" s="5" t="s">
        <v>345</v>
      </c>
      <c r="B54" s="5" t="s">
        <v>346</v>
      </c>
      <c r="C54" s="5" t="s">
        <v>347</v>
      </c>
      <c r="D54" s="17" t="s">
        <v>206</v>
      </c>
      <c r="E54" s="17" t="s">
        <v>31</v>
      </c>
      <c r="F54" s="5"/>
      <c r="G54" s="2"/>
      <c r="H54" s="2"/>
      <c r="I54" s="2"/>
      <c r="J54" s="2"/>
      <c r="K54" s="2"/>
      <c r="L54" s="2"/>
      <c r="M54" s="2"/>
      <c r="N54" s="2"/>
      <c r="O54" s="2"/>
      <c r="P54" s="2"/>
      <c r="Q54" s="2"/>
      <c r="R54" s="2"/>
      <c r="S54" s="2"/>
      <c r="T54" s="2"/>
      <c r="U54" s="2"/>
      <c r="V54" s="2"/>
      <c r="W54" s="2"/>
      <c r="X54" s="2"/>
      <c r="Y54" s="2"/>
      <c r="Z54" s="2"/>
    </row>
    <row r="55" ht="30.0" customHeight="1">
      <c r="A55" s="5" t="s">
        <v>348</v>
      </c>
      <c r="B55" s="5" t="s">
        <v>349</v>
      </c>
      <c r="C55" s="5" t="s">
        <v>350</v>
      </c>
      <c r="D55" s="17" t="s">
        <v>206</v>
      </c>
      <c r="E55" s="17" t="s">
        <v>31</v>
      </c>
      <c r="F55" s="5"/>
      <c r="G55" s="2"/>
      <c r="H55" s="2"/>
      <c r="I55" s="2"/>
      <c r="J55" s="2"/>
      <c r="K55" s="2"/>
      <c r="L55" s="2"/>
      <c r="M55" s="2"/>
      <c r="N55" s="2"/>
      <c r="O55" s="2"/>
      <c r="P55" s="2"/>
      <c r="Q55" s="2"/>
      <c r="R55" s="2"/>
      <c r="S55" s="2"/>
      <c r="T55" s="2"/>
      <c r="U55" s="2"/>
      <c r="V55" s="2"/>
      <c r="W55" s="2"/>
      <c r="X55" s="2"/>
      <c r="Y55" s="2"/>
      <c r="Z55" s="2"/>
    </row>
    <row r="56" ht="30.0" customHeight="1">
      <c r="A56" s="5" t="s">
        <v>351</v>
      </c>
      <c r="B56" s="5" t="s">
        <v>352</v>
      </c>
      <c r="C56" s="5" t="s">
        <v>353</v>
      </c>
      <c r="D56" s="17" t="s">
        <v>191</v>
      </c>
      <c r="E56" s="17" t="s">
        <v>192</v>
      </c>
      <c r="F56" s="5"/>
      <c r="G56" s="2"/>
      <c r="H56" s="2"/>
      <c r="I56" s="2"/>
      <c r="J56" s="2"/>
      <c r="K56" s="2"/>
      <c r="L56" s="2"/>
      <c r="M56" s="2"/>
      <c r="N56" s="2"/>
      <c r="O56" s="2"/>
      <c r="P56" s="2"/>
      <c r="Q56" s="2"/>
      <c r="R56" s="2"/>
      <c r="S56" s="2"/>
      <c r="T56" s="2"/>
      <c r="U56" s="2"/>
      <c r="V56" s="2"/>
      <c r="W56" s="2"/>
      <c r="X56" s="2"/>
      <c r="Y56" s="2"/>
      <c r="Z56" s="2"/>
    </row>
    <row r="57" ht="30.0" customHeight="1">
      <c r="A57" s="5" t="s">
        <v>354</v>
      </c>
      <c r="B57" s="5" t="s">
        <v>355</v>
      </c>
      <c r="C57" s="5" t="s">
        <v>356</v>
      </c>
      <c r="D57" s="17" t="s">
        <v>206</v>
      </c>
      <c r="E57" s="17" t="s">
        <v>31</v>
      </c>
      <c r="F57" s="5"/>
      <c r="G57" s="2"/>
      <c r="H57" s="2"/>
      <c r="I57" s="2"/>
      <c r="J57" s="2"/>
      <c r="K57" s="2"/>
      <c r="L57" s="2"/>
      <c r="M57" s="2"/>
      <c r="N57" s="2"/>
      <c r="O57" s="2"/>
      <c r="P57" s="2"/>
      <c r="Q57" s="2"/>
      <c r="R57" s="2"/>
      <c r="S57" s="2"/>
      <c r="T57" s="2"/>
      <c r="U57" s="2"/>
      <c r="V57" s="2"/>
      <c r="W57" s="2"/>
      <c r="X57" s="2"/>
      <c r="Y57" s="2"/>
      <c r="Z57" s="2"/>
    </row>
    <row r="58" ht="15.75" customHeight="1">
      <c r="A58" s="14" t="s">
        <v>357</v>
      </c>
      <c r="B58" s="15"/>
      <c r="C58" s="15"/>
      <c r="D58" s="15"/>
      <c r="E58" s="15"/>
      <c r="F58" s="16"/>
      <c r="G58" s="2"/>
      <c r="H58" s="2"/>
      <c r="I58" s="2"/>
      <c r="J58" s="2"/>
      <c r="K58" s="2"/>
      <c r="L58" s="2"/>
      <c r="M58" s="2"/>
      <c r="N58" s="2"/>
      <c r="O58" s="2"/>
      <c r="P58" s="2"/>
      <c r="Q58" s="2"/>
      <c r="R58" s="2"/>
      <c r="S58" s="2"/>
      <c r="T58" s="2"/>
      <c r="U58" s="2"/>
      <c r="V58" s="2"/>
      <c r="W58" s="2"/>
      <c r="X58" s="2"/>
      <c r="Y58" s="2"/>
      <c r="Z58" s="2"/>
    </row>
    <row r="59" ht="30.0" customHeight="1">
      <c r="A59" s="5" t="s">
        <v>358</v>
      </c>
      <c r="B59" s="5" t="s">
        <v>359</v>
      </c>
      <c r="C59" s="5" t="s">
        <v>360</v>
      </c>
      <c r="D59" s="17" t="s">
        <v>191</v>
      </c>
      <c r="E59" s="17" t="s">
        <v>213</v>
      </c>
      <c r="F59" s="5"/>
      <c r="G59" s="2"/>
      <c r="H59" s="2"/>
      <c r="I59" s="2"/>
      <c r="J59" s="2"/>
      <c r="K59" s="2"/>
      <c r="L59" s="2"/>
      <c r="M59" s="2"/>
      <c r="N59" s="2"/>
      <c r="O59" s="2"/>
      <c r="P59" s="2"/>
      <c r="Q59" s="2"/>
      <c r="R59" s="2"/>
      <c r="S59" s="2"/>
      <c r="T59" s="2"/>
      <c r="U59" s="2"/>
      <c r="V59" s="2"/>
      <c r="W59" s="2"/>
      <c r="X59" s="2"/>
      <c r="Y59" s="2"/>
      <c r="Z59" s="2"/>
    </row>
    <row r="60" ht="30.0" customHeight="1">
      <c r="A60" s="5" t="s">
        <v>361</v>
      </c>
      <c r="B60" s="5" t="s">
        <v>362</v>
      </c>
      <c r="C60" s="5" t="s">
        <v>363</v>
      </c>
      <c r="D60" s="17" t="s">
        <v>206</v>
      </c>
      <c r="E60" s="17" t="s">
        <v>31</v>
      </c>
      <c r="F60" s="5"/>
      <c r="G60" s="2"/>
      <c r="H60" s="2"/>
      <c r="I60" s="2"/>
      <c r="J60" s="2"/>
      <c r="K60" s="2"/>
      <c r="L60" s="2"/>
      <c r="M60" s="2"/>
      <c r="N60" s="2"/>
      <c r="O60" s="2"/>
      <c r="P60" s="2"/>
      <c r="Q60" s="2"/>
      <c r="R60" s="2"/>
      <c r="S60" s="2"/>
      <c r="T60" s="2"/>
      <c r="U60" s="2"/>
      <c r="V60" s="2"/>
      <c r="W60" s="2"/>
      <c r="X60" s="2"/>
      <c r="Y60" s="2"/>
      <c r="Z60" s="2"/>
    </row>
    <row r="61" ht="15.75" customHeight="1">
      <c r="A61" s="2"/>
      <c r="B61" s="2"/>
      <c r="C61" s="18"/>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18"/>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18"/>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18"/>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18"/>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18"/>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18"/>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18"/>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18"/>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18"/>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18"/>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18"/>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18"/>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18"/>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18"/>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18"/>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18"/>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18"/>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18"/>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18"/>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18"/>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18"/>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18"/>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18"/>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18"/>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18"/>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18"/>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18"/>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18"/>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18"/>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18"/>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18"/>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18"/>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18"/>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18"/>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18"/>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18"/>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18"/>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18"/>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18"/>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18"/>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18"/>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18"/>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18"/>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18"/>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18"/>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18"/>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18"/>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18"/>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18"/>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18"/>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18"/>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18"/>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18"/>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18"/>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18"/>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18"/>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18"/>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18"/>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18"/>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18"/>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18"/>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18"/>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18"/>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18"/>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18"/>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18"/>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18"/>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18"/>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18"/>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18"/>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18"/>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18"/>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18"/>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18"/>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18"/>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18"/>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18"/>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18"/>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18"/>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18"/>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18"/>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18"/>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18"/>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18"/>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18"/>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18"/>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18"/>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18"/>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18"/>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18"/>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18"/>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18"/>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18"/>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18"/>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18"/>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18"/>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18"/>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18"/>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18"/>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18"/>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18"/>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18"/>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18"/>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18"/>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18"/>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18"/>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18"/>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18"/>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18"/>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18"/>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18"/>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18"/>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18"/>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18"/>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18"/>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18"/>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18"/>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18"/>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18"/>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18"/>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18"/>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18"/>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18"/>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18"/>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18"/>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18"/>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18"/>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18"/>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18"/>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18"/>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18"/>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18"/>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18"/>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18"/>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18"/>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18"/>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18"/>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18"/>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18"/>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18"/>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18"/>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18"/>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18"/>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18"/>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18"/>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18"/>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18"/>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18"/>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18"/>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18"/>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18"/>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18"/>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18"/>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18"/>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18"/>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18"/>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18"/>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18"/>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18"/>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18"/>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18"/>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18"/>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18"/>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18"/>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18"/>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18"/>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18"/>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18"/>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18"/>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18"/>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18"/>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18"/>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18"/>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18"/>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18"/>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18"/>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18"/>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18"/>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18"/>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18"/>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18"/>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18"/>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18"/>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18"/>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18"/>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18"/>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18"/>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18"/>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18"/>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18"/>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18"/>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18"/>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18"/>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18"/>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18"/>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18"/>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18"/>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18"/>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18"/>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2:F2"/>
    <mergeCell ref="A23:F23"/>
    <mergeCell ref="A44:F44"/>
    <mergeCell ref="A58:F58"/>
  </mergeCells>
  <conditionalFormatting sqref="E3:E60">
    <cfRule type="cellIs" dxfId="4" priority="1" operator="equal">
      <formula>"Pass"</formula>
    </cfRule>
  </conditionalFormatting>
  <conditionalFormatting sqref="E3:E60">
    <cfRule type="cellIs" dxfId="0" priority="2" operator="equal">
      <formula>"Fail"</formula>
    </cfRule>
  </conditionalFormatting>
  <conditionalFormatting sqref="E3:E60">
    <cfRule type="cellIs" dxfId="2" priority="3" operator="equal">
      <formula>"Cannot tell"</formula>
    </cfRule>
  </conditionalFormatting>
  <conditionalFormatting sqref="E3:E60">
    <cfRule type="cellIs" dxfId="5" priority="4" operator="equal">
      <formula>"Not applicable"</formula>
    </cfRule>
  </conditionalFormatting>
  <dataValidations>
    <dataValidation type="list" allowBlank="1" sqref="E3:E22 E24:E43 E45:E57 E59:E60">
      <formula1>"Pass,Fail,Cannot tell,Not applicable"</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2026-06-16T03:30:19Z</dcterms:created>
  <dc:creator>openpyxl</dc:creator>
</cp:coreProperties>
</file>